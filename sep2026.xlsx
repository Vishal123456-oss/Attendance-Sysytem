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7A1F7345-9768-1C49-8735-1E7FC60B59B8}" xr6:coauthVersionLast="47" xr6:coauthVersionMax="47" xr10:uidLastSave="{00000000-0000-0000-0000-000000000000}"/>
  <workbookProtection workbookAlgorithmName="SHA-512" workbookHashValue="cGOIdAgHHkLAA7r9Sz5XuT/yk+LOhlvXwXp3ooBaEw1JXnganD5KsnKeSkdWq+CaJB33t+2HFd7rWzK29u0vuQ==" workbookSaltValue="YkYhGRU3qoMzbKivmTBKIg==" workbookSpinCount="100000" lockStructure="1"/>
  <bookViews>
    <workbookView xWindow="0" yWindow="0" windowWidth="0" windowHeight="0" xr2:uid="{00000000-000D-0000-FFFF-FFFF00000000}"/>
  </bookViews>
  <sheets>
    <sheet name="September Attendance" sheetId="1" r:id="rId1"/>
    <sheet name="Instructions" sheetId="2" r:id="rId2"/>
  </sheets>
  <definedNames>
    <definedName name="_xlnm._FilterDatabase" localSheetId="0" hidden="1">'September Attendance'!$A$4:$A$21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 a="1"/>
  <c r="AL21" i="1"/>
  <c r="AL20" i="1" a="1"/>
  <c r="AL20" i="1"/>
  <c r="AL19" i="1" a="1"/>
  <c r="AL19" i="1"/>
  <c r="AL18" i="1" a="1"/>
  <c r="AL18" i="1"/>
  <c r="AL17" i="1" a="1"/>
  <c r="AL17" i="1"/>
  <c r="AL16" i="1" a="1"/>
  <c r="AL16" i="1"/>
  <c r="AL15" i="1" a="1"/>
  <c r="AL15" i="1"/>
  <c r="AL14" i="1" a="1"/>
  <c r="AL14" i="1"/>
  <c r="AL13" i="1" a="1"/>
  <c r="AL13" i="1"/>
  <c r="AL12" i="1" a="1"/>
  <c r="AL12" i="1"/>
  <c r="AL11" i="1" a="1"/>
  <c r="AL11" i="1"/>
  <c r="AL10" i="1" a="1"/>
  <c r="AL10" i="1"/>
  <c r="AL9" i="1" a="1"/>
  <c r="AL9" i="1"/>
  <c r="AL8" i="1" a="1"/>
  <c r="AL8" i="1"/>
  <c r="AL7" i="1" a="1"/>
  <c r="AL7" i="1"/>
  <c r="AL6" i="1" a="1"/>
  <c r="AL6" i="1"/>
  <c r="AL5" i="1" a="1"/>
  <c r="AL5" i="1"/>
  <c r="AJ21" i="1"/>
  <c r="AH21" i="1"/>
  <c r="AK21" i="1"/>
  <c r="AH7" i="1"/>
  <c r="AI7" i="1"/>
  <c r="AJ7" i="1"/>
  <c r="AK7" i="1"/>
  <c r="AH6" i="1"/>
  <c r="AI6" i="1"/>
  <c r="AJ6" i="1"/>
  <c r="AK6" i="1"/>
  <c r="AH8" i="1"/>
  <c r="AI8" i="1"/>
  <c r="AJ8" i="1"/>
  <c r="AK8" i="1"/>
  <c r="AH9" i="1"/>
  <c r="AI9" i="1"/>
  <c r="AJ9" i="1"/>
  <c r="AK9" i="1"/>
  <c r="AH10" i="1"/>
  <c r="AI10" i="1"/>
  <c r="AJ10" i="1"/>
  <c r="AK10" i="1"/>
  <c r="AH11" i="1"/>
  <c r="AI11" i="1"/>
  <c r="AJ11" i="1"/>
  <c r="AK11" i="1"/>
  <c r="AH12" i="1"/>
  <c r="AI12" i="1"/>
  <c r="AJ12" i="1"/>
  <c r="AK12" i="1"/>
  <c r="AH13" i="1"/>
  <c r="AI13" i="1"/>
  <c r="AJ13" i="1"/>
  <c r="AK13" i="1"/>
  <c r="AH14" i="1"/>
  <c r="AI14" i="1"/>
  <c r="AJ14" i="1"/>
  <c r="AK14" i="1"/>
  <c r="AH15" i="1"/>
  <c r="AI15" i="1"/>
  <c r="AJ15" i="1"/>
  <c r="AK15" i="1"/>
  <c r="AH16" i="1"/>
  <c r="AI16" i="1"/>
  <c r="AJ16" i="1"/>
  <c r="AK16" i="1"/>
  <c r="AH17" i="1"/>
  <c r="AI17" i="1"/>
  <c r="AJ17" i="1"/>
  <c r="AK17" i="1"/>
  <c r="AH18" i="1"/>
  <c r="AI18" i="1"/>
  <c r="AJ18" i="1"/>
  <c r="AK18" i="1"/>
  <c r="AH19" i="1"/>
  <c r="AI19" i="1"/>
  <c r="AJ19" i="1"/>
  <c r="AK19" i="1"/>
  <c r="AH20" i="1"/>
  <c r="AI20" i="1"/>
  <c r="AJ20" i="1"/>
  <c r="AK20" i="1"/>
  <c r="AI5" i="1"/>
  <c r="AH5" i="1"/>
  <c r="AJ5" i="1"/>
  <c r="AK5" i="1"/>
  <c r="AK25" i="1"/>
  <c r="D26" i="1" a="1"/>
  <c r="D26" i="1"/>
  <c r="C26" i="1" a="1"/>
  <c r="C26" i="1"/>
  <c r="E26" i="1" a="1"/>
  <c r="E26" i="1"/>
  <c r="F26" i="1" a="1"/>
  <c r="G26" i="1" a="1"/>
  <c r="H26" i="1" a="1"/>
  <c r="I26" i="1" a="1"/>
  <c r="J26" i="1" a="1"/>
  <c r="K26" i="1" a="1"/>
  <c r="L26" i="1" a="1"/>
  <c r="M26" i="1" a="1"/>
  <c r="N26" i="1" a="1"/>
  <c r="O26" i="1" a="1"/>
  <c r="P26" i="1" a="1"/>
  <c r="Q26" i="1" a="1"/>
  <c r="R26" i="1" a="1"/>
  <c r="S26" i="1" a="1"/>
  <c r="T26" i="1" a="1"/>
  <c r="U26" i="1" a="1"/>
  <c r="V26" i="1" a="1"/>
  <c r="W26" i="1" a="1"/>
  <c r="X26" i="1" a="1"/>
  <c r="Y26" i="1" a="1"/>
  <c r="Z26" i="1" a="1"/>
  <c r="AA26" i="1" a="1"/>
  <c r="AB26" i="1" a="1"/>
  <c r="AC26" i="1" a="1"/>
  <c r="AD26" i="1" a="1"/>
  <c r="AE26" i="1" a="1"/>
  <c r="AF26" i="1" a="1"/>
  <c r="AG26" i="1" a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I24" i="1"/>
  <c r="C4" i="1"/>
  <c r="AG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cellMetadata count="1">
    <bk>
      <rc t="1" v="0"/>
    </bk>
  </cellMetadata>
  <valueMetadata count="1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</valueMetadata>
</metadata>
</file>

<file path=xl/sharedStrings.xml><?xml version="1.0" encoding="utf-8"?>
<sst xmlns="http://schemas.openxmlformats.org/spreadsheetml/2006/main" count="565" uniqueCount="44">
  <si>
    <t>YEAR</t>
  </si>
  <si>
    <t>MONTH</t>
  </si>
  <si>
    <t>Select Year &amp; Month → dates below change automatically</t>
  </si>
  <si>
    <t>Employee</t>
  </si>
  <si>
    <t>Daily Wage</t>
  </si>
  <si>
    <t>VICKRAM</t>
  </si>
  <si>
    <t>H</t>
  </si>
  <si>
    <t>P+1</t>
  </si>
  <si>
    <t>P</t>
  </si>
  <si>
    <t>-</t>
  </si>
  <si>
    <t>VISHU</t>
  </si>
  <si>
    <t>GURDEEP</t>
  </si>
  <si>
    <t>SAHIL</t>
  </si>
  <si>
    <t>VICKY</t>
  </si>
  <si>
    <t>AMAN</t>
  </si>
  <si>
    <t>GIRDHARI</t>
  </si>
  <si>
    <t>UTTAM</t>
  </si>
  <si>
    <t>RAHUL</t>
  </si>
  <si>
    <t>OM PRAKASH</t>
  </si>
  <si>
    <t>VARUN</t>
  </si>
  <si>
    <t>GOKUL</t>
  </si>
  <si>
    <t>RAKESH SINGH</t>
  </si>
  <si>
    <t>RAKESH SHARMA</t>
  </si>
  <si>
    <t>TOTAL OT (HRS)</t>
  </si>
  <si>
    <t>TOTAL MONTHLY WAGE</t>
  </si>
  <si>
    <t>TOTAL DAILY WAGE</t>
  </si>
  <si>
    <t>Attendance Sheet – Year/Month Selector</t>
  </si>
  <si>
    <t>Use the YEAR and MONTH dropdowns at the top of the Attendance sheet. The date headings update automatically; existing attendance and wage formulas are retained.</t>
  </si>
  <si>
    <t>P+1 = Present + 1 OT hour</t>
  </si>
  <si>
    <t>P+2 = Present + 2 OT hours</t>
  </si>
  <si>
    <t>H+1 = Half Day + 1 OT hour</t>
  </si>
  <si>
    <t>A / — = Absent</t>
  </si>
  <si>
    <t>OT rate = Daily Wage / 8</t>
  </si>
  <si>
    <t>Monthly Wage is automatic</t>
  </si>
  <si>
    <t xml:space="preserve">Total Present days </t>
  </si>
  <si>
    <t>TOTAL DAILY  PRESENT</t>
  </si>
  <si>
    <t>TOTAL OT (Hrs)</t>
  </si>
  <si>
    <t>OT Wages</t>
  </si>
  <si>
    <t xml:space="preserve">SUDESH SINGH </t>
  </si>
  <si>
    <t>X</t>
  </si>
  <si>
    <t xml:space="preserve">SANJAY KUMAR </t>
  </si>
  <si>
    <t>DEPPU SINGH</t>
  </si>
  <si>
    <t>October</t>
  </si>
  <si>
    <t xml:space="preserve">QR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</si>
</sst>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Calibri"/>
    </font>
    <font>
      <b/>
      <sz val="14"/>
      <name val="Calibri"/>
    </font>
    <font>
      <b/>
      <sz val="12"/>
      <name val="Droid Sans"/>
      <charset val="134"/>
    </font>
    <font>
      <b/>
      <sz val="12"/>
      <name val="Calibri"/>
    </font>
    <font>
      <sz val="12"/>
      <name val="Calibri"/>
    </font>
    <font>
      <b/>
      <sz val="12"/>
      <color rgb="FFFFFFFF"/>
      <name val="Calibri"/>
    </font>
    <font>
      <i/>
      <sz val="12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D9EA"/>
        <bgColor indexed="64"/>
      </patternFill>
    </fill>
    <fill>
      <patternFill patternType="solid">
        <fgColor rgb="FF00E2F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 applyAlignment="1">
      <alignment vertical="top" wrapText="1"/>
    </xf>
    <xf numFmtId="0" fontId="0" fillId="7" borderId="0" xfId="0" applyFill="1" applyAlignment="1"/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/>
    <xf numFmtId="0" fontId="7" fillId="0" borderId="0" xfId="0" applyFont="1" applyAlignment="1"/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 /><Relationship Id="rId3" Type="http://schemas.openxmlformats.org/officeDocument/2006/relationships/theme" Target="theme/theme1.xml" /><Relationship Id="rId7" Type="http://schemas.microsoft.com/office/2020/07/relationships/rdRichValueWebImage" Target="richData/rdRichValueWebImage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11" Type="http://schemas.openxmlformats.org/officeDocument/2006/relationships/calcChain" Target="calcChain.xml" /><Relationship Id="rId5" Type="http://schemas.openxmlformats.org/officeDocument/2006/relationships/sharedStrings" Target="sharedStrings.xml" /><Relationship Id="rId10" Type="http://schemas.microsoft.com/office/2017/06/relationships/rdRichValueTypes" Target="richData/rdRichValueTypes.xml" /><Relationship Id="rId4" Type="http://schemas.openxmlformats.org/officeDocument/2006/relationships/styles" Target="styles.xml" /><Relationship Id="rId9" Type="http://schemas.microsoft.com/office/2017/06/relationships/rdRichValueStructure" Target="richData/rdrichvaluestructure.xml" /></Relationships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13" Type="http://schemas.openxmlformats.org/officeDocument/2006/relationships/hyperlink" Target="https://quickchart.io/qr?size=400&amp;text=Welcome%20Dear,%20&#9786;&#65039;%0ATo%20The,%20%0AMs%20SURINDER%20KUMAR%0AAttendance%20System%0A%0AEmployee:%20OM%20PRAKASH%0AMonth:%20October%202026%0A%0A01-10-2026%20:%20P+1%0A02-10-2026%20:%20-%0A03-10-2026%20:%20P+1%0A04-10-2026%20:%20P+1%0A05-10-2026%20:%20P+1%0A06-10-2026%20:%20P%0A07-10-2026%20:%20P+1%0A08-10-2026%20:%20-%0A09-10-2026%20:%20X%0A10-10-2026%20:%20P%0A11-10-2026%20:%20P%0A12-10-2026%20:%20-%0A13-10-2026%20:%20P%0A14-10-2026%20:%20P+1%0A15-10-2026%20:%20X%0A16-10-2026%20:%20P%0A17-10-2026%20:%20-%0A18-10-2026%20:%20-%0A19-10-2026%20:%20P+1%0A20-10-2026%20:%20P%0A21-10-2026%20:%20P%0A22-10-2026%20:%20P+1%0A23-10-2026%20:%20X%0A24-10-2026%20:%20P+1%0A25-10-2026%20:%20P%0A26-10-2026%20:%20P%0A27-10-2026%20:%20P%0A28-10-2026%20:%20X%0A29-10-2026%20:%20P%0A30-10-2026%20:%20P%0A31-10-2026%20:%20P%0A%0ATotal%20Present:%2022%20Days%0ATotal%20Half%20Day:%200%20Days%0ATotal%20OT%20Wage:%20Rs%20506%0AMonthly%20Wage:%20Rs%2010406" TargetMode="External" /><Relationship Id="rId18" Type="http://schemas.openxmlformats.org/officeDocument/2006/relationships/image" Target="../media/image9.png" /><Relationship Id="rId26" Type="http://schemas.openxmlformats.org/officeDocument/2006/relationships/image" Target="../media/image13.png" /><Relationship Id="rId3" Type="http://schemas.openxmlformats.org/officeDocument/2006/relationships/hyperlink" Target="https://quickchart.io/qr?size=400&amp;text=Welcome%20Dear,%20&#9786;&#65039;%0ATo%20The,%20%0AMs%20SURINDER%20KUMAR%0AAttendance%20System%0A%0AEmployee:%20AMAN%0AMonth:%20October%202026%0A%0A01-10-2026%20:%20-%0A02-10-2026%20:%20-%0A03-10-2026%20:%20-%0A04-10-2026%20:%20P%0A05-10-2026%20:%20-%0A06-10-2026%20:%20P%0A07-10-2026%20:%20P%0A08-10-2026%20:%20-%0A09-10-2026%20:%20X%0A10-10-2026%20:%20-%0A11-10-2026%20:%20-%0A12-10-2026%20:%20-%0A13-10-2026%20:%20-%0A14-10-2026%20:%20-%0A15-10-2026%20:%20X%0A16-10-2026%20:%20-%0A17-10-2026%20:%20-%0A18-10-2026%20:%20P%0A19-10-2026%20:%20P%0A20-10-2026%20:%20P%0A21-10-2026%20:%20-%0A22-10-2026%20:%20P%0A23-10-2026%20:%20X%0A24-10-2026%20:%20-%0A25-10-2026%20:%20-%0A26-10-2026%20:%20P%0A27-10-2026%20:%20P%0A28-10-2026%20:%20X%0A29-10-2026%20:%20P%0A30-10-2026%20:%20P%0A31-10-2026%20:%20P%0A%0ATotal%20Present:%2012%20Days%0ATotal%20Half%20Day:%200%20Days%0ATotal%20OT%20Wage:%20Rs%200%0AMonthly%20Wage:%20Rs%206000" TargetMode="External" /><Relationship Id="rId21" Type="http://schemas.openxmlformats.org/officeDocument/2006/relationships/hyperlink" Target="https://quickchart.io/qr?size=400&amp;text=Welcome%20Dear,%20&#9786;&#65039;%0ATo%20The,%20%0AMs%20SURINDER%20KUMAR%0AAttendance%20System%0A%0AEmployee:%20SAHIL%0AMonth:%20October%202026%0A%0A01-10-2026%20:%20P+1%0A02-10-2026%20:%20-%0A03-10-2026%20:%20P+1%0A04-10-2026%20:%20P+1%0A05-10-2026%20:%20P+1%0A06-10-2026%20:%20P%0A07-10-2026%20:%20-%0A08-10-2026%20:%20-%0A09-10-2026%20:%20X%0A10-10-2026%20:%20P%0A11-10-2026%20:%20P+1%0A12-10-2026%20:%20%0A13-10-2026%20:%20P%0A14-10-2026%20:%20P+1%0A15-10-2026%20:%20X%0A16-10-2026%20:%20P%0A17-10-2026%20:%20-%0A18-10-2026%20:%20P+1%0A19-10-2026%20:%20P+1%0A20-10-2026%20:%20H%0A21-10-2026%20:%20P+1%0A22-10-2026%20:%20H%0A23-10-2026%20:%20X%0A24-10-2026%20:%20P+1%0A25-10-2026%20:%20H%0A26-10-2026%20:%20P+1%0A27-10-2026%20:%20P+1%0A28-10-2026%20:%20X%0A29-10-2026%20:%20-%0A30-10-2026%20:%20P%0A31-10-2026%20:%20P%0A%0ATotal%20Present:%2018%20Days%0ATotal%20Half%20Day:%203%20Days%0ATotal%20OT%20Wage:%20Rs%20825%0AMonthly%20Wage:%20Rs%2011550" TargetMode="External" /><Relationship Id="rId34" Type="http://schemas.openxmlformats.org/officeDocument/2006/relationships/image" Target="../media/image17.png" /><Relationship Id="rId7" Type="http://schemas.openxmlformats.org/officeDocument/2006/relationships/hyperlink" Target="https://quickchart.io/qr?size=400&amp;text=Welcome%20Dear,%20&#9786;&#65039;%0ATo%20The,%20%0AMs%20SURINDER%20KUMAR%0AAttendance%20System%0A%0AEmployee:%20GIRDHARI%0AMonth:%20October%202026%0A%0A01-10-2026%20:%20-%0A02-10-2026%20:%20-%0A03-10-2026%20:%20P+1%0A04-10-2026%20:%20P+1%0A05-10-2026%20:%20P+1%0A06-10-2026%20:%20P%0A07-10-2026%20:%20P%0A08-10-2026%20:%20-%0A09-10-2026%20:%20X%0A10-10-2026%20:%20-%0A11-10-2026%20:%20P%0A12-10-2026%20:%20P+1%0A13-10-2026%20:%20P%0A14-10-2026%20:%20P+1%0A15-10-2026%20:%20X%0A16-10-2026%20:%20P%0A17-10-2026%20:%20P+1%0A18-10-2026%20:%20P%0A19-10-2026%20:%20P%0A20-10-2026%20:%20-%0A21-10-2026%20:%20P%0A22-10-2026%20:%20P%0A23-10-2026%20:%20X%0A24-10-2026%20:%20P%0A25-10-2026%20:%20P%0A26-10-2026%20:%20P%0A27-10-2026%20:%20P%0A28-10-2026%20:%20X%0A29-10-2026%20:%20P%0A30-10-2026%20:%20P%0A31-10-2026%20:%20-%0A%0ATotal%20Present:%2021%20Days%0ATotal%20Half%20Day:%200%20Days%0ATotal%20OT%20Wage:%20Rs%20353%0AMonthly%20Wage:%20Rs%2010223" TargetMode="External" /><Relationship Id="rId12" Type="http://schemas.openxmlformats.org/officeDocument/2006/relationships/image" Target="../media/image6.png" /><Relationship Id="rId17" Type="http://schemas.openxmlformats.org/officeDocument/2006/relationships/hyperlink" Target="https://quickchart.io/qr?size=400&amp;text=Welcome%20Dear,%20&#9786;&#65039;%0ATo%20The,%20%0AMs%20SURINDER%20KUMAR%0AAttendance%20System%0A%0AEmployee:%20RAKESH%20SHARMA%0AMonth:%20October%202026%0A%0A01-10-2026%20:%20P%0A02-10-2026%20:%20-%0A03-10-2026%20:%20P%0A04-10-2026%20:%20-%0A05-10-2026%20:%20P%0A06-10-2026%20:%20P%0A07-10-2026%20:%20-%0A08-10-2026%20:%20-%0A09-10-2026%20:%20X%0A10-10-2026%20:%20P%0A11-10-2026%20:%20-%0A12-10-2026%20:%20P%0A13-10-2026%20:%20P%0A14-10-2026%20:%20-%0A15-10-2026%20:%20X%0A16-10-2026%20:%20-%0A17-10-2026%20:%20P%0A18-10-2026%20:%20P%0A19-10-2026%20:%20-%0A20-10-2026%20:%20P%0A21-10-2026%20:%20H%0A22-10-2026%20:%20P%0A23-10-2026%20:%20X%0A24-10-2026%20:%20-%0A25-10-2026%20:%20P%0A26-10-2026%20:%20P%0A27-10-2026%20:%20-%0A28-10-2026%20:%20X%0A29-10-2026%20:%20-%0A30-10-2026%20:%20-%0A31-10-2026%20:%20P%0A%0ATotal%20Present:%2014%20Days%0ATotal%20Half%20Day:%201%20Days%0ATotal%20OT%20Wage:%20Rs%200%0AMonthly%20Wage:%20Rs%206960" TargetMode="External" /><Relationship Id="rId25" Type="http://schemas.openxmlformats.org/officeDocument/2006/relationships/hyperlink" Target="https://quickchart.io/qr?size=400&amp;text=Welcome%20Dear,%20&#9786;&#65039;%0ATo%20The,%20%0AMs%20SURINDER%20KUMAR%0AAttendance%20System%0A%0AEmployee:%20SUDESH%20SINGH%20%0AMonth:%20October%202026%0A%0A01-10-2026%20:%20-%0A02-10-2026%20:%20-%0A03-10-2026%20:%20-%0A04-10-2026%20:%20-%0A05-10-2026%20:%20-%0A06-10-2026%20:%20-%0A07-10-2026%20:%20-%0A08-10-2026%20:%20-%0A09-10-2026%20:%20X%0A10-10-2026%20:%20-%0A11-10-2026%20:%20-%0A12-10-2026%20:%20-%0A13-10-2026%20:%20-%0A14-10-2026%20:%20-%0A15-10-2026%20:%20X%0A16-10-2026%20:%20-%0A17-10-2026%20:%20-%0A18-10-2026%20:%20-%0A19-10-2026%20:%20-%0A20-10-2026%20:%20-%0A21-10-2026%20:%20-%0A22-10-2026%20:%20-%0A23-10-2026%20:%20X%0A24-10-2026%20:%20-%0A25-10-2026%20:%20P%0A26-10-2026%20:%20P%0A27-10-2026%20:%20P%0A28-10-2026%20:%20X%0A29-10-2026%20:%20P%0A30-10-2026%20:%20P%0A31-10-2026%20:%20-%0A%0ATotal%20Present:%205%20Days%0ATotal%20Half%20Day:%200%20Days%0ATotal%20OT%20Wage:%20Rs%200%0AMonthly%20Wage:%20Rs%202250" TargetMode="External" /><Relationship Id="rId33" Type="http://schemas.openxmlformats.org/officeDocument/2006/relationships/hyperlink" Target="https://quickchart.io/qr?size=400&amp;text=Welcome%20Dear,%20&#9786;&#65039;%0ATo%20The,%20%0AMs%20SURINDER%20KUMAR%0AAttendance%20System%0A%0AEmployee:%20VISHU%0AMonth:%20October%202026%0A%0A01-10-2026%20:%20P+1%0A02-10-2026%20:%20P%0A03-10-2026%20:%20P+1%0A04-10-2026%20:%20P+1%0A05-10-2026%20:%20P+1%0A06-10-2026%20:%20P+1%0A07-10-2026%20:%20P+1%0A08-10-2026%20:%20P%0A09-10-2026%20:%20X%0A10-10-2026%20:%20P%0A11-10-2026%20:%20P+1%0A12-10-2026%20:%20P+1%0A13-10-2026%20:%20P%0A14-10-2026%20:%20P+1%0A15-10-2026%20:%20X%0A16-10-2026%20:%20P%0A17-10-2026%20:%20P+1%0A18-10-2026%20:%20P+1%0A19-10-2026%20:%20P+1%0A20-10-2026%20:%20P%0A21-10-2026%20:%20P+1%0A22-10-2026%20:%20P+1%0A23-10-2026%20:%20X%0A24-10-2026%20:%20P+1%0A25-10-2026%20:%20P+1%0A26-10-2026%20:%20P+1%0A27-10-2026%20:%20P+1%0A28-10-2026%20:%20X%0A29-10-2026%20:%20P+1%0A30-10-2026%20:%20P%0A31-10-2026%20:%20P%0A%0ATotal%20Present:%2027%20Days%0ATotal%20Half%20Day:%200%20Days%0ATotal%20OT%20Wage:%20Rs%201500%0AMonthly%20Wage:%20Rs%2017700" TargetMode="External" /><Relationship Id="rId2" Type="http://schemas.openxmlformats.org/officeDocument/2006/relationships/image" Target="../media/image1.png" /><Relationship Id="rId16" Type="http://schemas.openxmlformats.org/officeDocument/2006/relationships/image" Target="../media/image8.png" /><Relationship Id="rId20" Type="http://schemas.openxmlformats.org/officeDocument/2006/relationships/image" Target="../media/image10.png" /><Relationship Id="rId29" Type="http://schemas.openxmlformats.org/officeDocument/2006/relationships/hyperlink" Target="https://quickchart.io/qr?size=400&amp;text=Welcome%20Dear,%20&#9786;&#65039;%0ATo%20The,%20%0AMs%20SURINDER%20KUMAR%0AAttendance%20System%0A%0AEmployee:%20VARUN%0AMonth:%20October%202026%0A%0A01-10-2026%20:%20P+1%0A02-10-2026%20:%20P%0A03-10-2026%20:%20P+1%0A04-10-2026%20:%20P+1%0A05-10-2026%20:%20P+1%0A06-10-2026%20:%20H%0A07-10-2026%20:%20-%0A08-10-2026%20:%20-%0A09-10-2026%20:%20X%0A10-10-2026%20:%20H%0A11-10-2026%20:%20P+1%0A12-10-2026%20:%20P+1%0A13-10-2026%20:%20-%0A14-10-2026%20:%20-%0A15-10-2026%20:%20X%0A16-10-2026%20:%20-%0A17-10-2026%20:%20P+1%0A18-10-2026%20:%20P+1%0A19-10-2026%20:%20H%0A20-10-2026%20:%20P%0A21-10-2026%20:%20-%0A22-10-2026%20:%20P+1%0A23-10-2026%20:%20X%0A24-10-2026%20:%20-%0A25-10-2026%20:%20-%0A26-10-2026%20:%20P+1%0A27-10-2026%20:%20P+1%0A28-10-2026%20:%20X%0A29-10-2026%20:%20-%0A30-10-2026%20:%20P%0A31-10-2026%20:%20P%0A%0ATotal%20Present:%2015%20Days%0ATotal%20Half%20Day:%203%20Days%0ATotal%20OT%20Wage:%20Rs%20619%0AMonthly%20Wage:%20Rs%208044" TargetMode="External" /><Relationship Id="rId1" Type="http://schemas.openxmlformats.org/officeDocument/2006/relationships/hyperlink" Target="https://quickchart.io/qr?size=400&amp;text=Welcome%20Dear,%20&#9786;&#65039;%0ATo%20The,%20%0AMs%20SURINDER%20KUMAR%0AAttendance%20System%0A%0AEmployee:%20VICKRAM%0AMonth:%20October%202026%0A%0A01-10-2026%20:%20-%0A02-10-2026%20:%20-%0A03-10-2026%20:%20P+1%0A04-10-2026%20:%20P+1%0A05-10-2026%20:%20P+1%0A06-10-2026%20:%20P+1%0A07-10-2026%20:%20P+1%0A08-10-2026%20:%20-%0A09-10-2026%20:%20X%0A10-10-2026%20:%20P%0A11-10-2026%20:%20P+1%0A12-10-2026%20:%20-%0A13-10-2026%20:%20P%0A14-10-2026%20:%20P+1%0A15-10-2026%20:%20X%0A16-10-2026%20:%20H%0A17-10-2026%20:%20-%0A18-10-2026%20:%20P+1%0A19-10-2026%20:%20P+1%0A20-10-2026%20:%20P%0A21-10-2026%20:%20H%0A22-10-2026%20:%20P+1%0A23-10-2026%20:%20X%0A24-10-2026%20:%20P+1%0A25-10-2026%20:%20P+1%0A26-10-2026%20:%20P+1%0A27-10-2026%20:%20P+1%0A28-10-2026%20:%20X%0A29-10-2026%20:%20P+1%0A30-10-2026%20:%20P%0A31-10-2026%20:%20P%0A%0ATotal%20Present:%2020%20Days%0ATotal%20Half%20Day:%202%20Days%0ATotal%20OT%20Wage:%20Rs%201125%0AMonthly%20Wage:%20Rs%2013725" TargetMode="External" /><Relationship Id="rId6" Type="http://schemas.openxmlformats.org/officeDocument/2006/relationships/image" Target="../media/image3.png" /><Relationship Id="rId11" Type="http://schemas.openxmlformats.org/officeDocument/2006/relationships/hyperlink" Target="https://quickchart.io/qr?size=400&amp;text=Welcome%20Dear,%20&#9786;&#65039;%0ATo%20The,%20%0AMs%20SURINDER%20KUMAR%0AAttendance%20System%0A%0AEmployee:%20GURDEEP%0AMonth:%20October%202026%0A%0A01-10-2026%20:%20P+1%0A02-10-2026%20:%20-%0A03-10-2026%20:%20P+1%0A04-10-2026%20:%20P+1%0A05-10-2026%20:%20P+1%0A06-10-2026%20:%20-%0A07-10-2026%20:%20P+1%0A08-10-2026%20:%20P%0A09-10-2026%20:%20X%0A10-10-2026%20:%20P%0A11-10-2026%20:%20P+1%0A12-10-2026%20:%20P+1%0A13-10-2026%20:%20P%0A14-10-2026%20:%20P+1%0A15-10-2026%20:%20X%0A16-10-2026%20:%20-%0A17-10-2026%20:%20-%0A18-10-2026%20:%20P+1%0A19-10-2026%20:%20P+1%0A20-10-2026%20:%20P%0A21-10-2026%20:%20P+1%0A22-10-2026%20:%20P+1%0A23-10-2026%20:%20X%0A24-10-2026%20:%20P+1%0A25-10-2026%20:%20P+1%0A26-10-2026%20:%20P+1%0A27-10-2026%20:%20P+1%0A28-10-2026%20:%20X%0A29-10-2026%20:%20P+1%0A30-10-2026%20:%20P%0A31-10-2026%20:%20P%0A%0ATotal%20Present:%2023%20Days%0ATotal%20Half%20Day:%200%20Days%0ATotal%20OT%20Wage:%20Rs%201105%0AMonthly%20Wage:%20Rs%2013065" TargetMode="External" /><Relationship Id="rId24" Type="http://schemas.openxmlformats.org/officeDocument/2006/relationships/image" Target="../media/image12.png" /><Relationship Id="rId32" Type="http://schemas.openxmlformats.org/officeDocument/2006/relationships/image" Target="../media/image16.png" /><Relationship Id="rId5" Type="http://schemas.openxmlformats.org/officeDocument/2006/relationships/hyperlink" Target="https://quickchart.io/qr?size=400&amp;text=Welcome%20Dear,%20&#9786;&#65039;%0ATo%20The,%20%0AMs%20SURINDER%20KUMAR%0AAttendance%20System%0A%0AEmployee:%20DEPPU%20SINGH%0AMonth:%20October%202026%0A%0A01-10-2026%20:%20-%0A02-10-2026%20:%20-%0A03-10-2026%20:%20P%0A04-10-2026%20:%20P%0A05-10-2026%20:%20P%0A06-10-2026%20:%20-%0A07-10-2026%20:%20P%0A08-10-2026%20:%20P%0A09-10-2026%20:%20X%0A10-10-2026%20:%20-%0A11-10-2026%20:%20P%0A12-10-2026%20:%20P%0A13-10-2026%20:%20-%0A14-10-2026%20:%20-%0A15-10-2026%20:%20X%0A16-10-2026%20:%20-%0A17-10-2026%20:%20-%0A18-10-2026%20:%20-%0A19-10-2026%20:%20-%0A20-10-2026%20:%20-%0A21-10-2026%20:%20-%0A22-10-2026%20:%20-%0A23-10-2026%20:%20X%0A24-10-2026%20:%20-%0A25-10-2026%20:%20-%0A26-10-2026%20:%20-%0A27-10-2026%20:%20-%0A28-10-2026%20:%20X%0A29-10-2026%20:%20-%0A30-10-2026%20:%20-%0A31-10-2026%20:%20-%0A%0ATotal%20Present:%207%20Days%0ATotal%20Half%20Day:%200%20Days%0ATotal%20OT%20Wage:%20Rs%200%0AMonthly%20Wage:%20Rs%203500" TargetMode="External" /><Relationship Id="rId15" Type="http://schemas.openxmlformats.org/officeDocument/2006/relationships/hyperlink" Target="https://quickchart.io/qr?size=400&amp;text=Welcome%20Dear,%20&#9786;&#65039;%0ATo%20The,%20%0AMs%20SURINDER%20KUMAR%0AAttendance%20System%0A%0AEmployee:%20RAHUL%0AMonth:%20October%202026%0A%0A01-10-2026%20:%20P+1%0A02-10-2026%20:%20P%0A03-10-2026%20:%20P+1%0A04-10-2026%20:%20P+1%0A05-10-2026%20:%20P+1%0A06-10-2026%20:%20P+1%0A07-10-2026%20:%20P%0A08-10-2026%20:%20-%0A09-10-2026%20:%20X%0A10-10-2026%20:%20-%0A11-10-2026%20:%20P%0A12-10-2026%20:%20-%0A13-10-2026%20:%20P%0A14-10-2026%20:%20P+1%0A15-10-2026%20:%20X%0A16-10-2026%20:%20P%0A17-10-2026%20:%20P+1%0A18-10-2026%20:%20P+1%0A19-10-2026%20:%20P+1%0A20-10-2026%20:%20P%0A21-10-2026%20:%20P+1%0A22-10-2026%20:%20-%0A23-10-2026%20:%20X%0A24-10-2026%20:%20H%0A25-10-2026%20:%20-%0A26-10-2026%20:%20-%0A27-10-2026%20:%20-%0A28-10-2026%20:%20X%0A29-10-2026%20:%20-%0A30-10-2026%20:%20-%0A31-10-2026%20:%20-%0A%0ATotal%20Present:%2016%20Days%0ATotal%20Half%20Day:%201%20Days%0ATotal%20OT%20Wage:%20Rs%20875%0AMonthly%20Wage:%20Rs%2012425" TargetMode="External" /><Relationship Id="rId23" Type="http://schemas.openxmlformats.org/officeDocument/2006/relationships/hyperlink" Target="https://quickchart.io/qr?size=400&amp;text=Welcome%20Dear,%20&#9786;&#65039;%0ATo%20The,%20%0AMs%20SURINDER%20KUMAR%0AAttendance%20System%0A%0AEmployee:%20SANJAY%20KUMAR%20%0AMonth:%20October%202026%0A%0A01-10-2026%20:%20P+1%0A02-10-2026%20:%20P%0A03-10-2026%20:%20P+1%0A04-10-2026%20:%20H%0A05-10-2026%20:%20P+1%0A06-10-2026%20:%20P+1%0A07-10-2026%20:%20-%0A08-10-2026%20:%20-%0A09-10-2026%20:%20X%0A10-10-2026%20:%20-%0A11-10-2026%20:%20-%0A12-10-2026%20:%20-%0A13-10-2026%20:%20-%0A14-10-2026%20:%20-%0A15-10-2026%20:%20X%0A16-10-2026%20:%20-%0A17-10-2026%20:%20-%0A18-10-2026%20:%20-%0A19-10-2026%20:%20-%0A20-10-2026%20:%20-%0A21-10-2026%20:%20-%0A22-10-2026%20:%20-%0A23-10-2026%20:%20X%0A24-10-2026%20:%20-%0A25-10-2026%20:%20-%0A26-10-2026%20:%20-%0A27-10-2026%20:%20-%0A28-10-2026%20:%20X%0A29-10-2026%20:%20-%0A30-10-2026%20:%20-%0A31-10-2026%20:%20-%0A%0ATotal%20Present:%205%20Days%0ATotal%20Half%20Day:%201%20Days%0ATotal%20OT%20Wage:%20Rs%20200%0AMonthly%20Wage:%20Rs%202400" TargetMode="External" /><Relationship Id="rId28" Type="http://schemas.openxmlformats.org/officeDocument/2006/relationships/image" Target="../media/image14.png" /><Relationship Id="rId10" Type="http://schemas.openxmlformats.org/officeDocument/2006/relationships/image" Target="../media/image5.png" /><Relationship Id="rId19" Type="http://schemas.openxmlformats.org/officeDocument/2006/relationships/hyperlink" Target="https://quickchart.io/qr?size=400&amp;text=Welcome%20Dear,%20&#9786;&#65039;%0ATo%20The,%20%0AMs%20SURINDER%20KUMAR%0AAttendance%20System%0A%0AEmployee:%20RAKESH%20SINGH%0AMonth:%20October%202026%0A%0A01-10-2026%20:%20P+1%0A02-10-2026%20:%20P%0A03-10-2026%20:%20P+1%0A04-10-2026%20:%20P+1%0A05-10-2026%20:%20P%0A06-10-2026%20:%20P+1%0A07-10-2026%20:%20-%0A08-10-2026%20:%20P%0A09-10-2026%20:%20X%0A10-10-2026%20:%20P%0A11-10-2026%20:%20P+1%0A12-10-2026%20:%20P+1%0A13-10-2026%20:%20P%0A14-10-2026%20:%20-%0A15-10-2026%20:%20X%0A16-10-2026%20:%20P%0A17-10-2026%20:%20-%0A18-10-2026%20:%20P+1%0A19-10-2026%20:%20P+1%0A20-10-2026%20:%20P%0A21-10-2026%20:%20P+1%0A22-10-2026%20:%20P+1%0A23-10-2026%20:%20X%0A24-10-2026%20:%20P+1%0A25-10-2026%20:%20P+1%0A26-10-2026%20:%20P+1%0A27-10-2026%20:%20P%0A28-10-2026%20:%20X%0A29-10-2026%20:%20P+1%0A30-10-2026%20:%20-%0A31-10-2026%20:%20P%0A%0ATotal%20Present:%2023%20Days%0ATotal%20Half%20Day:%200%20Days%0ATotal%20OT%20Wage:%20Rs%20753%0AMonthly%20Wage:%20Rs%2010643" TargetMode="External" /><Relationship Id="rId31" Type="http://schemas.openxmlformats.org/officeDocument/2006/relationships/hyperlink" Target="https://quickchart.io/qr?size=400&amp;text=Welcome%20Dear,%20&#9786;&#65039;%0ATo%20The,%20%0AMs%20SURINDER%20KUMAR%0AAttendance%20System%0A%0AEmployee:%20VICKY%0AMonth:%20October%202026%0A%0A01-10-2026%20:%20P+1%0A02-10-2026%20:%20-%0A03-10-2026%20:%20P+1%0A04-10-2026%20:%20P%0A05-10-2026%20:%20P+1%0A06-10-2026%20:%20P+1%0A07-10-2026%20:%20-%0A08-10-2026%20:%20P%0A09-10-2026%20:%20X%0A10-10-2026%20:%20P%0A11-10-2026%20:%20-%0A12-10-2026%20:%20P+1%0A13-10-2026%20:%20-%0A14-10-2026%20:%20P+1%0A15-10-2026%20:%20X%0A16-10-2026%20:%20-%0A17-10-2026%20:%20P+1%0A18-10-2026%20:%20P+1%0A19-10-2026%20:%20-%0A20-10-2026%20:%20-%0A21-10-2026%20:%20P+1%0A22-10-2026%20:%20-%0A23-10-2026%20:%20X%0A24-10-2026%20:%20P%0A25-10-2026%20:%20P+1%0A26-10-2026%20:%20-%0A27-10-2026%20:%20-%0A28-10-2026%20:%20X%0A29-10-2026%20:%20-%0A30-10-2026%20:%20-%0A31-10-2026%20:%20-%0A%0ATotal%20Present:%2014%20Days%0ATotal%20Half%20Day:%200%20Days%0ATotal%20OT%20Wage:%20Rs%20688%0AMonthly%20Wage:%20Rs%208388" TargetMode="External" /><Relationship Id="rId4" Type="http://schemas.openxmlformats.org/officeDocument/2006/relationships/image" Target="../media/image2.png" /><Relationship Id="rId9" Type="http://schemas.openxmlformats.org/officeDocument/2006/relationships/hyperlink" Target="https://quickchart.io/qr?size=400&amp;text=Welcome%20Dear,%20&#9786;&#65039;%0ATo%20The,%20%0AMs%20SURINDER%20KUMAR%0AAttendance%20System%0A%0AEmployee:%20GOKUL%0AMonth:%20October%202026%0A%0A01-10-2026%20:%20-%0A02-10-2026%20:%20-%0A03-10-2026%20:%20P%0A04-10-2026%20:%20P%0A05-10-2026%20:%20P%0A06-10-2026%20:%20P%0A07-10-2026%20:%20-%0A08-10-2026%20:%20P%0A09-10-2026%20:%20X%0A10-10-2026%20:%20P%0A11-10-2026%20:%20-%0A12-10-2026%20:%20-%0A13-10-2026%20:%20P%0A14-10-2026%20:%20P%0A15-10-2026%20:%20X%0A16-10-2026%20:%20-%0A17-10-2026%20:%20-%0A18-10-2026%20:%20P%0A19-10-2026%20:%20P%0A20-10-2026%20:%20P%0A21-10-2026%20:%20-%0A22-10-2026%20:%20-%0A23-10-2026%20:%20X%0A24-10-2026%20:%20P%0A25-10-2026%20:%20-%0A26-10-2026%20:%20-%0A27-10-2026%20:%20-%0A28-10-2026%20:%20X%0A29-10-2026%20:%20-%0A30-10-2026%20:%20-%0A31-10-2026%20:%20-%0A%0ATotal%20Present:%2012%20Days%0ATotal%20Half%20Day:%200%20Days%0ATotal%20OT%20Wage:%20Rs%200%0AMonthly%20Wage:%20Rs%205520" TargetMode="External" /><Relationship Id="rId14" Type="http://schemas.openxmlformats.org/officeDocument/2006/relationships/image" Target="../media/image7.png" /><Relationship Id="rId22" Type="http://schemas.openxmlformats.org/officeDocument/2006/relationships/image" Target="../media/image11.png" /><Relationship Id="rId27" Type="http://schemas.openxmlformats.org/officeDocument/2006/relationships/hyperlink" Target="https://quickchart.io/qr?size=400&amp;text=Welcome%20Dear,%20&#9786;&#65039;%0ATo%20The,%20%0AMs%20SURINDER%20KUMAR%0AAttendance%20System%0A%0AEmployee:%20UTTAM%0AMonth:%20October%202026%0A%0A01-10-2026%20:%20%0A02-10-2026%20:%20-%0A03-10-2026%20:%20-%0A04-10-2026%20:%20-%0A05-10-2026%20:%20-%0A06-10-2026%20:%20-%0A07-10-2026%20:%20-%0A08-10-2026%20:%20-%0A09-10-2026%20:%20X%0A10-10-2026%20:%20-%0A11-10-2026%20:%20-%0A12-10-2026%20:%20-%0A13-10-2026%20:%20-%0A14-10-2026%20:%20-%0A15-10-2026%20:%20X%0A16-10-2026%20:%20-%0A17-10-2026%20:%20-%0A18-10-2026%20:%20P%0A19-10-2026%20:%20P%0A20-10-2026%20:%20P%0A21-10-2026%20:%20P%0A22-10-2026%20:%20P%0A23-10-2026%20:%20X%0A24-10-2026%20:%20-%0A25-10-2026%20:%20P%0A26-10-2026%20:%20-%0A27-10-2026%20:%20-%0A28-10-2026%20:%20X%0A29-10-2026%20:%20P%0A30-10-2026%20:%20-%0A31-10-2026%20:%20P%0A%0ATotal%20Present:%208%20Days%0ATotal%20Half%20Day:%200%20Days%0ATotal%20OT%20Wage:%20Rs%200%0AMonthly%20Wage:%20Rs%203600" TargetMode="External" /><Relationship Id="rId30" Type="http://schemas.openxmlformats.org/officeDocument/2006/relationships/image" Target="../media/image15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</webImagesSrd>
</file>

<file path=xl/richData/rdrichvalue.xml><?xml version="1.0" encoding="utf-8"?>
<rvData xmlns="http://schemas.microsoft.com/office/spreadsheetml/2017/richdata" count="17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"/>
  <sheetViews>
    <sheetView tabSelected="1" topLeftCell="AK3" zoomScale="45" workbookViewId="0">
      <selection activeCell="AL10" sqref="AL10"/>
    </sheetView>
  </sheetViews>
  <sheetFormatPr defaultColWidth="11.02734375" defaultRowHeight="15" x14ac:dyDescent="0.2"/>
  <cols>
    <col min="1" max="1" width="25.55859375" style="2" customWidth="1"/>
    <col min="2" max="2" width="17.08203125" style="2" hidden="1" customWidth="1"/>
    <col min="3" max="3" width="11.43359375" style="2" customWidth="1"/>
    <col min="4" max="4" width="10.76171875" style="2" customWidth="1"/>
    <col min="5" max="32" width="11.43359375" style="2" customWidth="1"/>
    <col min="33" max="33" width="9.14453125" style="2" customWidth="1"/>
    <col min="34" max="34" width="18.6953125" style="2" customWidth="1"/>
    <col min="35" max="35" width="15.73828125" style="2" customWidth="1"/>
    <col min="36" max="36" width="13.71875" style="2" customWidth="1"/>
    <col min="37" max="37" width="22.59765625" style="2" customWidth="1"/>
    <col min="38" max="38" width="22.46484375" customWidth="1"/>
  </cols>
  <sheetData>
    <row r="1" spans="1:38" ht="19.5" customHeight="1" x14ac:dyDescent="0.2">
      <c r="A1" s="22" t="str">
        <f>"MS SURINDER KUMAR - "&amp;UPPER(TEXT(DATE($B$2,MATCH($D$2,{"January","February","March","April","May","June","July","August","September","October","November","December"},0),1),"mmmm yyyy"))&amp;" ATTENDANCE"</f>
        <v>MS SURINDER KUMAR - OCTOBER 2026 ATTENDANCE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8" s="14" customFormat="1" ht="33" customHeight="1" x14ac:dyDescent="0.2">
      <c r="A2" s="15" t="s">
        <v>0</v>
      </c>
      <c r="B2" s="16">
        <v>2026</v>
      </c>
      <c r="C2" s="15" t="s">
        <v>1</v>
      </c>
      <c r="D2" s="16" t="s">
        <v>42</v>
      </c>
      <c r="E2" s="17"/>
      <c r="F2" s="18" t="s">
        <v>2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8" x14ac:dyDescent="0.2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8" s="14" customFormat="1" ht="15.6" customHeight="1" x14ac:dyDescent="0.2">
      <c r="A4" s="11" t="s">
        <v>3</v>
      </c>
      <c r="B4" s="11" t="s">
        <v>4</v>
      </c>
      <c r="C4" s="11" t="str">
        <f>IF(1&lt;=DAY(DATE($B$2,MATCH($D$2,{"January","February","March","April","May","June","July","August","September","October","November","December"},0)+1,0)),1&amp;"-"&amp;TEXT(DATE($B$2,MATCH($D$2,{"January","February","March","April","May","June","July","August","September","October","November","December"},0),1),"mmm"),"")</f>
        <v>1-Oct</v>
      </c>
      <c r="D4" s="11" t="str">
        <f>IF(2&lt;=DAY(DATE($B$2,MATCH($D$2,{"January","February","March","April","May","June","July","August","September","October","November","December"},0)+1,0)),2&amp;"-"&amp;TEXT(DATE($B$2,MATCH($D$2,{"January","February","March","April","May","June","July","August","September","October","November","December"},0),2),"mmm"),"")</f>
        <v>2-Oct</v>
      </c>
      <c r="E4" s="11" t="str">
        <f>IF(3&lt;=DAY(DATE($B$2,MATCH($D$2,{"January","February","March","April","May","June","July","August","September","October","November","December"},0)+1,0)),3&amp;"-"&amp;TEXT(DATE($B$2,MATCH($D$2,{"January","February","March","April","May","June","July","August","September","October","November","December"},0),3),"mmm"),"")</f>
        <v>3-Oct</v>
      </c>
      <c r="F4" s="11" t="str">
        <f>IF(4&lt;=DAY(DATE($B$2,MATCH($D$2,{"January","February","March","April","May","June","July","August","September","October","November","December"},0)+1,0)),4&amp;"-"&amp;TEXT(DATE($B$2,MATCH($D$2,{"January","February","March","April","May","June","July","August","September","October","November","December"},0),4),"mmm"),"")</f>
        <v>4-Oct</v>
      </c>
      <c r="G4" s="11" t="str">
        <f>IF(5&lt;=DAY(DATE($B$2,MATCH($D$2,{"January","February","March","April","May","June","July","August","September","October","November","December"},0)+1,0)),5&amp;"-"&amp;TEXT(DATE($B$2,MATCH($D$2,{"January","February","March","April","May","June","July","August","September","October","November","December"},0),5),"mmm"),"")</f>
        <v>5-Oct</v>
      </c>
      <c r="H4" s="11" t="str">
        <f>IF(6&lt;=DAY(DATE($B$2,MATCH($D$2,{"January","February","March","April","May","June","July","August","September","October","November","December"},0)+1,0)),6&amp;"-"&amp;TEXT(DATE($B$2,MATCH($D$2,{"January","February","March","April","May","June","July","August","September","October","November","December"},0),6),"mmm"),"")</f>
        <v>6-Oct</v>
      </c>
      <c r="I4" s="11" t="str">
        <f>IF(7&lt;=DAY(DATE($B$2,MATCH($D$2,{"January","February","March","April","May","June","July","August","September","October","November","December"},0)+1,0)),7&amp;"-"&amp;TEXT(DATE($B$2,MATCH($D$2,{"January","February","March","April","May","June","July","August","September","October","November","December"},0),7),"mmm"),"")</f>
        <v>7-Oct</v>
      </c>
      <c r="J4" s="11" t="str">
        <f>IF(8&lt;=DAY(DATE($B$2,MATCH($D$2,{"January","February","March","April","May","June","July","August","September","October","November","December"},0)+1,0)),8&amp;"-"&amp;TEXT(DATE($B$2,MATCH($D$2,{"January","February","March","April","May","June","July","August","September","October","November","December"},0),8),"mmm"),"")</f>
        <v>8-Oct</v>
      </c>
      <c r="K4" s="11" t="str">
        <f>IF(9&lt;=DAY(DATE($B$2,MATCH($D$2,{"January","February","March","April","May","June","July","August","September","October","November","December"},0)+1,0)),9&amp;"-"&amp;TEXT(DATE($B$2,MATCH($D$2,{"January","February","March","April","May","June","July","August","September","October","November","December"},0),9),"mmm"),"")</f>
        <v>9-Oct</v>
      </c>
      <c r="L4" s="11" t="str">
        <f>IF(10&lt;=DAY(DATE($B$2,MATCH($D$2,{"January","February","March","April","May","June","July","August","September","October","November","December"},0)+1,0)),10&amp;"-"&amp;TEXT(DATE($B$2,MATCH($D$2,{"January","February","March","April","May","June","July","August","September","October","November","December"},0),10),"mmm"),"")</f>
        <v>10-Oct</v>
      </c>
      <c r="M4" s="11" t="str">
        <f>IF(11&lt;=DAY(DATE($B$2,MATCH($D$2,{"January","February","March","April","May","June","July","August","September","October","November","December"},0)+1,0)),11&amp;"-"&amp;TEXT(DATE($B$2,MATCH($D$2,{"January","February","March","April","May","June","July","August","September","October","November","December"},0),11),"mmm"),"")</f>
        <v>11-Oct</v>
      </c>
      <c r="N4" s="11" t="str">
        <f>IF(12&lt;=DAY(DATE($B$2,MATCH($D$2,{"January","February","March","April","May","June","July","August","September","October","November","December"},0)+1,0)),12&amp;"-"&amp;TEXT(DATE($B$2,MATCH($D$2,{"January","February","March","April","May","June","July","August","September","October","November","December"},0),12),"mmm"),"")</f>
        <v>12-Oct</v>
      </c>
      <c r="O4" s="11" t="str">
        <f>IF(13&lt;=DAY(DATE($B$2,MATCH($D$2,{"January","February","March","April","May","June","July","August","September","October","November","December"},0)+1,0)),13&amp;"-"&amp;TEXT(DATE($B$2,MATCH($D$2,{"January","February","March","April","May","June","July","August","September","October","November","December"},0),13),"mmm"),"")</f>
        <v>13-Oct</v>
      </c>
      <c r="P4" s="11" t="str">
        <f>IF(14&lt;=DAY(DATE($B$2,MATCH($D$2,{"January","February","March","April","May","June","July","August","September","October","November","December"},0)+1,0)),14&amp;"-"&amp;TEXT(DATE($B$2,MATCH($D$2,{"January","February","March","April","May","June","July","August","September","October","November","December"},0),14),"mmm"),"")</f>
        <v>14-Oct</v>
      </c>
      <c r="Q4" s="11" t="str">
        <f>IF(15&lt;=DAY(DATE($B$2,MATCH($D$2,{"January","February","March","April","May","June","July","August","September","October","November","December"},0)+1,0)),15&amp;"-"&amp;TEXT(DATE($B$2,MATCH($D$2,{"January","February","March","April","May","June","July","August","September","October","November","December"},0),15),"mmm"),"")</f>
        <v>15-Oct</v>
      </c>
      <c r="R4" s="11" t="str">
        <f>IF(16&lt;=DAY(DATE($B$2,MATCH($D$2,{"January","February","March","April","May","June","July","August","September","October","November","December"},0)+1,0)),16&amp;"-"&amp;TEXT(DATE($B$2,MATCH($D$2,{"January","February","March","April","May","June","July","August","September","October","November","December"},0),16),"mmm"),"")</f>
        <v>16-Oct</v>
      </c>
      <c r="S4" s="11" t="str">
        <f>IF(17&lt;=DAY(DATE($B$2,MATCH($D$2,{"January","February","March","April","May","June","July","August","September","October","November","December"},0)+1,0)),17&amp;"-"&amp;TEXT(DATE($B$2,MATCH($D$2,{"January","February","March","April","May","June","July","August","September","October","November","December"},0),17),"mmm"),"")</f>
        <v>17-Oct</v>
      </c>
      <c r="T4" s="11" t="str">
        <f>IF(18&lt;=DAY(DATE($B$2,MATCH($D$2,{"January","February","March","April","May","June","July","August","September","October","November","December"},0)+1,0)),18&amp;"-"&amp;TEXT(DATE($B$2,MATCH($D$2,{"January","February","March","April","May","June","July","August","September","October","November","December"},0),18),"mmm"),"")</f>
        <v>18-Oct</v>
      </c>
      <c r="U4" s="11" t="str">
        <f>IF(19&lt;=DAY(DATE($B$2,MATCH($D$2,{"January","February","March","April","May","June","July","August","September","October","November","December"},0)+1,0)),19&amp;"-"&amp;TEXT(DATE($B$2,MATCH($D$2,{"January","February","March","April","May","June","July","August","September","October","November","December"},0),19),"mmm"),"")</f>
        <v>19-Oct</v>
      </c>
      <c r="V4" s="11" t="str">
        <f>IF(20&lt;=DAY(DATE($B$2,MATCH($D$2,{"January","February","March","April","May","June","July","August","September","October","November","December"},0)+1,0)),20&amp;"-"&amp;TEXT(DATE($B$2,MATCH($D$2,{"January","February","March","April","May","June","July","August","September","October","November","December"},0),20),"mmm"),"")</f>
        <v>20-Oct</v>
      </c>
      <c r="W4" s="11" t="str">
        <f>IF(21&lt;=DAY(DATE($B$2,MATCH($D$2,{"January","February","March","April","May","June","July","August","September","October","November","December"},0)+1,0)),21&amp;"-"&amp;TEXT(DATE($B$2,MATCH($D$2,{"January","February","March","April","May","June","July","August","September","October","November","December"},0),21),"mmm"),"")</f>
        <v>21-Oct</v>
      </c>
      <c r="X4" s="11" t="str">
        <f>IF(22&lt;=DAY(DATE($B$2,MATCH($D$2,{"January","February","March","April","May","June","July","August","September","October","November","December"},0)+1,0)),22&amp;"-"&amp;TEXT(DATE($B$2,MATCH($D$2,{"January","February","March","April","May","June","July","August","September","October","November","December"},0),22),"mmm"),"")</f>
        <v>22-Oct</v>
      </c>
      <c r="Y4" s="11" t="str">
        <f>IF(23&lt;=DAY(DATE($B$2,MATCH($D$2,{"January","February","March","April","May","June","July","August","September","October","November","December"},0)+1,0)),23&amp;"-"&amp;TEXT(DATE($B$2,MATCH($D$2,{"January","February","March","April","May","June","July","August","September","October","November","December"},0),23),"mmm"),"")</f>
        <v>23-Oct</v>
      </c>
      <c r="Z4" s="11" t="str">
        <f>IF(24&lt;=DAY(DATE($B$2,MATCH($D$2,{"January","February","March","April","May","June","July","August","September","October","November","December"},0)+1,0)),24&amp;"-"&amp;TEXT(DATE($B$2,MATCH($D$2,{"January","February","March","April","May","June","July","August","September","October","November","December"},0),24),"mmm"),"")</f>
        <v>24-Oct</v>
      </c>
      <c r="AA4" s="11" t="str">
        <f>IF(25&lt;=DAY(DATE($B$2,MATCH($D$2,{"January","February","March","April","May","June","July","August","September","October","November","December"},0)+1,0)),25&amp;"-"&amp;TEXT(DATE($B$2,MATCH($D$2,{"January","February","March","April","May","June","July","August","September","October","November","December"},0),25),"mmm"),"")</f>
        <v>25-Oct</v>
      </c>
      <c r="AB4" s="11" t="str">
        <f>IF(26&lt;=DAY(DATE($B$2,MATCH($D$2,{"January","February","March","April","May","June","July","August","September","October","November","December"},0)+1,0)),26&amp;"-"&amp;TEXT(DATE($B$2,MATCH($D$2,{"January","February","March","April","May","June","July","August","September","October","November","December"},0),26),"mmm"),"")</f>
        <v>26-Oct</v>
      </c>
      <c r="AC4" s="11" t="str">
        <f>IF(27&lt;=DAY(DATE($B$2,MATCH($D$2,{"January","February","March","April","May","June","July","August","September","October","November","December"},0)+1,0)),27&amp;"-"&amp;TEXT(DATE($B$2,MATCH($D$2,{"January","February","March","April","May","June","July","August","September","October","November","December"},0),27),"mmm"),"")</f>
        <v>27-Oct</v>
      </c>
      <c r="AD4" s="11" t="str">
        <f>IF(28&lt;=DAY(DATE($B$2,MATCH($D$2,{"January","February","March","April","May","June","July","August","September","October","November","December"},0)+1,0)),28&amp;"-"&amp;TEXT(DATE($B$2,MATCH($D$2,{"January","February","March","April","May","June","July","August","September","October","November","December"},0),28),"mmm"),"")</f>
        <v>28-Oct</v>
      </c>
      <c r="AE4" s="11" t="str">
        <f>IF(29&lt;=DAY(DATE($B$2,MATCH($D$2,{"January","February","March","April","May","June","July","August","September","October","November","December"},0)+1,0)),29&amp;"-"&amp;TEXT(DATE($B$2,MATCH($D$2,{"January","February","March","April","May","June","July","August","September","October","November","December"},0),29),"mmm"),"")</f>
        <v>29-Oct</v>
      </c>
      <c r="AF4" s="11" t="str">
        <f>IF(30&lt;=DAY(DATE($B$2,MATCH($D$2,{"January","February","March","April","May","June","July","August","September","October","November","December"},0)+1,0)),30&amp;"-"&amp;TEXT(DATE($B$2,MATCH($D$2,{"January","February","March","April","May","June","July","August","September","October","November","December"},0),30),"mmm"),"")</f>
        <v>30-Oct</v>
      </c>
      <c r="AG4" s="12" t="str">
        <f>IF(31&lt;=DAY(DATE($B$2,MATCH($D$2,{"January","February","March","April","May","June","July","August","September","October","November","December"},0)+1,0)),31&amp;"-"&amp;TEXT(DATE($B$2,MATCH($D$2,{"January","February","March","April","May","June","July","August","September","October","November","December"},0),31),"mmm"),"")</f>
        <v>31-Oct</v>
      </c>
      <c r="AH4" s="13" t="s">
        <v>34</v>
      </c>
      <c r="AI4" s="13" t="s">
        <v>36</v>
      </c>
      <c r="AJ4" s="13" t="s">
        <v>37</v>
      </c>
      <c r="AK4" s="13" t="s">
        <v>24</v>
      </c>
      <c r="AL4" s="21" t="s">
        <v>43</v>
      </c>
    </row>
    <row r="5" spans="1:38" ht="15.6" customHeight="1" x14ac:dyDescent="0.2">
      <c r="A5" s="19" t="s">
        <v>5</v>
      </c>
      <c r="B5" s="7">
        <v>600</v>
      </c>
      <c r="C5" s="7" t="s">
        <v>9</v>
      </c>
      <c r="D5" s="7" t="s">
        <v>9</v>
      </c>
      <c r="E5" s="7" t="s">
        <v>7</v>
      </c>
      <c r="F5" s="7" t="s">
        <v>7</v>
      </c>
      <c r="G5" s="7" t="s">
        <v>7</v>
      </c>
      <c r="H5" s="7" t="s">
        <v>7</v>
      </c>
      <c r="I5" s="7" t="s">
        <v>7</v>
      </c>
      <c r="J5" s="7" t="s">
        <v>9</v>
      </c>
      <c r="K5" s="7" t="s">
        <v>39</v>
      </c>
      <c r="L5" s="7" t="s">
        <v>8</v>
      </c>
      <c r="M5" s="7" t="s">
        <v>7</v>
      </c>
      <c r="N5" s="7" t="s">
        <v>9</v>
      </c>
      <c r="O5" s="7" t="s">
        <v>8</v>
      </c>
      <c r="P5" s="7" t="s">
        <v>7</v>
      </c>
      <c r="Q5" s="7" t="s">
        <v>39</v>
      </c>
      <c r="R5" s="7" t="s">
        <v>6</v>
      </c>
      <c r="S5" s="7" t="s">
        <v>9</v>
      </c>
      <c r="T5" s="7" t="s">
        <v>7</v>
      </c>
      <c r="U5" s="7" t="s">
        <v>7</v>
      </c>
      <c r="V5" s="7" t="s">
        <v>8</v>
      </c>
      <c r="W5" s="7" t="s">
        <v>6</v>
      </c>
      <c r="X5" s="7" t="s">
        <v>7</v>
      </c>
      <c r="Y5" s="7" t="s">
        <v>39</v>
      </c>
      <c r="Z5" s="7" t="s">
        <v>7</v>
      </c>
      <c r="AA5" s="7" t="s">
        <v>7</v>
      </c>
      <c r="AB5" s="7" t="s">
        <v>7</v>
      </c>
      <c r="AC5" s="7" t="s">
        <v>7</v>
      </c>
      <c r="AD5" s="7" t="s">
        <v>39</v>
      </c>
      <c r="AE5" s="7" t="s">
        <v>7</v>
      </c>
      <c r="AF5" s="7" t="s">
        <v>8</v>
      </c>
      <c r="AG5" s="7" t="s">
        <v>8</v>
      </c>
      <c r="AH5" s="7">
        <f>COUNTIF(C5:AG5,"P*")+COUNTIF(C5:AG5,"H*")*0.5</f>
        <v>21</v>
      </c>
      <c r="AI5" s="8">
        <f>COUNTIF(C5:AG5,"P+1")*1+COUNTIF(C5:AG5,"H+1")*1+COUNTIF(C5:AF5,"P+2")*2+COUNTIF(C5:AF5,"H+2")*2+COUNTIF(C5:AF5,"P+3")*3+COUNTIF(C5:AF5,"H+3")*3+COUNTIF(C5:AF5,"P+4")*4+COUNTIF(C5:AF5,"H+4")*4+COUNTIF(C5:AF5,"P+5")*5+COUNTIF(C5:AF5,"H+5")*5+COUNTIF(C5:AF5,"P+6")*6+COUNTIF(C5:AF5,"H+6")*6+COUNTIF(C5:AF5,"P+7")*7+COUNTIF(C5:AF5,"H+7")*7+COUNTIF(C5:AF5,"P+8")*8+COUNTIF(C5:AF5,"H+8")*8+COUNTIF(C5:AF5,"P+9")*9+COUNTIF(C5:AF5,"H+9")*9+COUNTIF(C5:AF5,"P+10")*10+COUNTIF(C5:AF5,"H+10")*10</f>
        <v>15</v>
      </c>
      <c r="AJ5" s="8">
        <f>ROUND(AI5*(B5/8),0)</f>
        <v>1125</v>
      </c>
      <c r="AK5" s="7">
        <f>AH5*B5+AJ5</f>
        <v>13725</v>
      </c>
      <c r="AL5" t="e" cm="1" vm="1">
        <f t="array" ref="AL5">_xlfn.IMAGE("https://quickchart.io/qr?size=400&amp;text="&amp;SUBSTITUTE(SUBSTITUTE("Welcome Dear, ☺️"&amp;CHAR(10)&amp;"To The, "&amp;CHAR(10)&amp;"Ms SURINDER KUMAR"&amp;CHAR(10)&amp;"Attendance System"&amp;CHAR(10)&amp;CHAR(10)&amp;"Employee: "&amp;A5&amp;CHAR(10)&amp;"Month: "&amp;TEXT(C$4,"mmmm yyyy")&amp;CHAR(10)&amp;CHAR(10)&amp;_xlfn.TEXTJOIN(CHAR(10),TRUE,IF(C$4:AG$4&lt;&gt;"",TEXT(C$4:AG$4,"dd-mm-yyyy")&amp;" : "&amp;C5:AG5,""))&amp;CHAR(10)&amp;CHAR(10)&amp;"Total Present: "&amp;COUNTIF(C5:AG5,"P*")&amp;" Days"&amp;CHAR(10)&amp;"Total Half Day: "&amp;COUNTIF(C5:AG5,"H")&amp;" Days"&amp;CHAR(10)&amp;"Total OT Wage: Rs "&amp;AJ5&amp;CHAR(10)&amp;"Monthly Wage: Rs "&amp;AK5," ","%20"),CHAR(10),"%0A"))</f>
        <v>#VALUE!</v>
      </c>
    </row>
    <row r="6" spans="1:38" ht="15.6" customHeight="1" x14ac:dyDescent="0.2">
      <c r="A6" s="20" t="s">
        <v>14</v>
      </c>
      <c r="B6" s="7">
        <v>500</v>
      </c>
      <c r="C6" s="7" t="s">
        <v>9</v>
      </c>
      <c r="D6" s="7" t="s">
        <v>9</v>
      </c>
      <c r="E6" s="7" t="s">
        <v>9</v>
      </c>
      <c r="F6" s="7" t="s">
        <v>8</v>
      </c>
      <c r="G6" s="7" t="s">
        <v>9</v>
      </c>
      <c r="H6" s="7" t="s">
        <v>8</v>
      </c>
      <c r="I6" s="7" t="s">
        <v>8</v>
      </c>
      <c r="J6" s="7" t="s">
        <v>9</v>
      </c>
      <c r="K6" s="7" t="s">
        <v>39</v>
      </c>
      <c r="L6" s="7" t="s">
        <v>9</v>
      </c>
      <c r="M6" s="7" t="s">
        <v>9</v>
      </c>
      <c r="N6" s="7" t="s">
        <v>9</v>
      </c>
      <c r="O6" s="7" t="s">
        <v>9</v>
      </c>
      <c r="P6" s="7" t="s">
        <v>9</v>
      </c>
      <c r="Q6" s="7" t="s">
        <v>39</v>
      </c>
      <c r="R6" s="7" t="s">
        <v>9</v>
      </c>
      <c r="S6" s="7" t="s">
        <v>9</v>
      </c>
      <c r="T6" s="7" t="s">
        <v>8</v>
      </c>
      <c r="U6" s="7" t="s">
        <v>8</v>
      </c>
      <c r="V6" s="7" t="s">
        <v>8</v>
      </c>
      <c r="W6" s="7" t="s">
        <v>9</v>
      </c>
      <c r="X6" s="7" t="s">
        <v>8</v>
      </c>
      <c r="Y6" s="7" t="s">
        <v>39</v>
      </c>
      <c r="Z6" s="7" t="s">
        <v>9</v>
      </c>
      <c r="AA6" s="7" t="s">
        <v>9</v>
      </c>
      <c r="AB6" s="7" t="s">
        <v>8</v>
      </c>
      <c r="AC6" s="7" t="s">
        <v>8</v>
      </c>
      <c r="AD6" s="7" t="s">
        <v>39</v>
      </c>
      <c r="AE6" s="7" t="s">
        <v>8</v>
      </c>
      <c r="AF6" s="7" t="s">
        <v>8</v>
      </c>
      <c r="AG6" s="7" t="s">
        <v>8</v>
      </c>
      <c r="AH6" s="7">
        <f>COUNTIF(C6:AG6,"P*")+COUNTIF(C6:AG6,"H*")*0.5</f>
        <v>12</v>
      </c>
      <c r="AI6" s="8">
        <f>COUNTIF(C6:AG6,"P+1")*1+COUNTIF(C6:AG6,"H+1")*1+COUNTIF(C6:AF6,"P+2")*2+COUNTIF(C6:AF6,"H+2")*2+COUNTIF(C6:AF6,"P+3")*3+COUNTIF(C6:AF6,"H+3")*3+COUNTIF(C6:AF6,"P+4")*4+COUNTIF(C6:AF6,"H+4")*4+COUNTIF(C6:AF6,"P+5")*5+COUNTIF(C6:AF6,"H+5")*5+COUNTIF(C6:AF6,"P+6")*6+COUNTIF(C6:AF6,"H+6")*6+COUNTIF(C6:AF6,"P+7")*7+COUNTIF(C6:AF6,"H+7")*7+COUNTIF(C6:AF6,"P+8")*8+COUNTIF(C6:AF6,"H+8")*8+COUNTIF(C6:AF6,"P+9")*9+COUNTIF(C6:AF6,"H+9")*9+COUNTIF(C6:AF6,"P+10")*10+COUNTIF(C6:AF6,"H+10")*10</f>
        <v>0</v>
      </c>
      <c r="AJ6" s="8">
        <f>ROUND(AI6*(B6/8),0)</f>
        <v>0</v>
      </c>
      <c r="AK6" s="7">
        <f>AH6*B6+AJ6</f>
        <v>6000</v>
      </c>
      <c r="AL6" t="e" cm="1" vm="2">
        <f t="array" ref="AL6">_xlfn.IMAGE("https://quickchart.io/qr?size=400&amp;text="&amp;SUBSTITUTE(SUBSTITUTE("Welcome Dear, ☺️"&amp;CHAR(10)&amp;"To The, "&amp;CHAR(10)&amp;"Ms SURINDER KUMAR"&amp;CHAR(10)&amp;"Attendance System"&amp;CHAR(10)&amp;CHAR(10)&amp;"Employee: "&amp;A6&amp;CHAR(10)&amp;"Month: "&amp;TEXT(C$4,"mmmm yyyy")&amp;CHAR(10)&amp;CHAR(10)&amp;_xlfn.TEXTJOIN(CHAR(10),TRUE,IF(C$4:AG$4&lt;&gt;"",TEXT(C$4:AG$4,"dd-mm-yyyy")&amp;" : "&amp;C6:AG6,""))&amp;CHAR(10)&amp;CHAR(10)&amp;"Total Present: "&amp;COUNTIF(C6:AG6,"P*")&amp;" Days"&amp;CHAR(10)&amp;"Total Half Day: "&amp;COUNTIF(C6:AG6,"H")&amp;" Days"&amp;CHAR(10)&amp;"Total OT Wage: Rs "&amp;AJ6&amp;CHAR(10)&amp;"Monthly Wage: Rs "&amp;AK6," ","%20"),CHAR(10),"%0A"))</f>
        <v>#VALUE!</v>
      </c>
    </row>
    <row r="7" spans="1:38" ht="15.6" customHeight="1" x14ac:dyDescent="0.2">
      <c r="A7" s="20" t="s">
        <v>41</v>
      </c>
      <c r="B7" s="7">
        <v>500</v>
      </c>
      <c r="C7" s="7" t="s">
        <v>9</v>
      </c>
      <c r="D7" s="7" t="s">
        <v>9</v>
      </c>
      <c r="E7" s="7" t="s">
        <v>8</v>
      </c>
      <c r="F7" s="7" t="s">
        <v>8</v>
      </c>
      <c r="G7" s="7" t="s">
        <v>8</v>
      </c>
      <c r="H7" s="7" t="s">
        <v>9</v>
      </c>
      <c r="I7" s="7" t="s">
        <v>8</v>
      </c>
      <c r="J7" s="7" t="s">
        <v>8</v>
      </c>
      <c r="K7" s="7" t="s">
        <v>39</v>
      </c>
      <c r="L7" s="7" t="s">
        <v>9</v>
      </c>
      <c r="M7" s="7" t="s">
        <v>8</v>
      </c>
      <c r="N7" s="7" t="s">
        <v>8</v>
      </c>
      <c r="O7" s="7" t="s">
        <v>9</v>
      </c>
      <c r="P7" s="7" t="s">
        <v>9</v>
      </c>
      <c r="Q7" s="7" t="s">
        <v>39</v>
      </c>
      <c r="R7" s="7" t="s">
        <v>9</v>
      </c>
      <c r="S7" s="7" t="s">
        <v>9</v>
      </c>
      <c r="T7" s="7" t="s">
        <v>9</v>
      </c>
      <c r="U7" s="7" t="s">
        <v>9</v>
      </c>
      <c r="V7" s="7" t="s">
        <v>9</v>
      </c>
      <c r="W7" s="7" t="s">
        <v>9</v>
      </c>
      <c r="X7" s="7" t="s">
        <v>9</v>
      </c>
      <c r="Y7" s="7" t="s">
        <v>39</v>
      </c>
      <c r="Z7" s="7" t="s">
        <v>9</v>
      </c>
      <c r="AA7" s="7" t="s">
        <v>9</v>
      </c>
      <c r="AB7" s="7" t="s">
        <v>9</v>
      </c>
      <c r="AC7" s="7" t="s">
        <v>9</v>
      </c>
      <c r="AD7" s="7" t="s">
        <v>39</v>
      </c>
      <c r="AE7" s="7" t="s">
        <v>9</v>
      </c>
      <c r="AF7" s="7" t="s">
        <v>9</v>
      </c>
      <c r="AG7" s="7" t="s">
        <v>9</v>
      </c>
      <c r="AH7" s="7">
        <f>COUNTIF(C7:AG7,"P*")+COUNTIF(C7:AG7,"H*")*0.5</f>
        <v>7</v>
      </c>
      <c r="AI7" s="8">
        <f>COUNTIF(C7:AG7,"P+1")*1+COUNTIF(C7:AG7,"H+1")*1+COUNTIF(C7:AF7,"P+2")*2+COUNTIF(C7:AF7,"H+2")*2+COUNTIF(C7:AF7,"P+3")*3+COUNTIF(C7:AF7,"H+3")*3+COUNTIF(C7:AF7,"P+4")*4+COUNTIF(C7:AF7,"H+4")*4+COUNTIF(C7:AF7,"P+5")*5+COUNTIF(C7:AF7,"H+5")*5+COUNTIF(C7:AF7,"P+6")*6+COUNTIF(C7:AF7,"H+6")*6+COUNTIF(C7:AF7,"P+7")*7+COUNTIF(C7:AF7,"H+7")*7+COUNTIF(C7:AF7,"P+8")*8+COUNTIF(C7:AF7,"H+8")*8+COUNTIF(C7:AF7,"P+9")*9+COUNTIF(C7:AF7,"H+9")*9+COUNTIF(C7:AF7,"P+10")*10+COUNTIF(C7:AF7,"H+10")*10</f>
        <v>0</v>
      </c>
      <c r="AJ7" s="8">
        <f>ROUND(AI7*(B7/8),0)</f>
        <v>0</v>
      </c>
      <c r="AK7" s="7">
        <f>AH7*B7+AJ7</f>
        <v>3500</v>
      </c>
      <c r="AL7" t="e" cm="1" vm="3">
        <f t="array" ref="AL7">_xlfn.IMAGE("https://quickchart.io/qr?size=400&amp;text="&amp;SUBSTITUTE(SUBSTITUTE("Welcome Dear, ☺️"&amp;CHAR(10)&amp;"To The, "&amp;CHAR(10)&amp;"Ms SURINDER KUMAR"&amp;CHAR(10)&amp;"Attendance System"&amp;CHAR(10)&amp;CHAR(10)&amp;"Employee: "&amp;A7&amp;CHAR(10)&amp;"Month: "&amp;TEXT(C$4,"mmmm yyyy")&amp;CHAR(10)&amp;CHAR(10)&amp;_xlfn.TEXTJOIN(CHAR(10),TRUE,IF(C$4:AG$4&lt;&gt;"",TEXT(C$4:AG$4,"dd-mm-yyyy")&amp;" : "&amp;C7:AG7,""))&amp;CHAR(10)&amp;CHAR(10)&amp;"Total Present: "&amp;COUNTIF(C7:AG7,"P*")&amp;" Days"&amp;CHAR(10)&amp;"Total Half Day: "&amp;COUNTIF(C7:AG7,"H")&amp;" Days"&amp;CHAR(10)&amp;"Total OT Wage: Rs "&amp;AJ7&amp;CHAR(10)&amp;"Monthly Wage: Rs "&amp;AK7," ","%20"),CHAR(10),"%0A"))</f>
        <v>#VALUE!</v>
      </c>
    </row>
    <row r="8" spans="1:38" ht="15.6" customHeight="1" x14ac:dyDescent="0.2">
      <c r="A8" s="20" t="s">
        <v>15</v>
      </c>
      <c r="B8" s="7">
        <v>470</v>
      </c>
      <c r="C8" s="7" t="s">
        <v>9</v>
      </c>
      <c r="D8" s="7" t="s">
        <v>9</v>
      </c>
      <c r="E8" s="7" t="s">
        <v>7</v>
      </c>
      <c r="F8" s="7" t="s">
        <v>7</v>
      </c>
      <c r="G8" s="7" t="s">
        <v>7</v>
      </c>
      <c r="H8" s="7" t="s">
        <v>8</v>
      </c>
      <c r="I8" s="7" t="s">
        <v>8</v>
      </c>
      <c r="J8" s="7" t="s">
        <v>9</v>
      </c>
      <c r="K8" s="7" t="s">
        <v>39</v>
      </c>
      <c r="L8" s="7" t="s">
        <v>9</v>
      </c>
      <c r="M8" s="7" t="s">
        <v>8</v>
      </c>
      <c r="N8" s="7" t="s">
        <v>7</v>
      </c>
      <c r="O8" s="7" t="s">
        <v>8</v>
      </c>
      <c r="P8" s="7" t="s">
        <v>7</v>
      </c>
      <c r="Q8" s="7" t="s">
        <v>39</v>
      </c>
      <c r="R8" s="7" t="s">
        <v>8</v>
      </c>
      <c r="S8" s="7" t="s">
        <v>7</v>
      </c>
      <c r="T8" s="7" t="s">
        <v>8</v>
      </c>
      <c r="U8" s="7" t="s">
        <v>8</v>
      </c>
      <c r="V8" s="7" t="s">
        <v>9</v>
      </c>
      <c r="W8" s="7" t="s">
        <v>8</v>
      </c>
      <c r="X8" s="7" t="s">
        <v>8</v>
      </c>
      <c r="Y8" s="7" t="s">
        <v>39</v>
      </c>
      <c r="Z8" s="7" t="s">
        <v>8</v>
      </c>
      <c r="AA8" s="7" t="s">
        <v>8</v>
      </c>
      <c r="AB8" s="7" t="s">
        <v>8</v>
      </c>
      <c r="AC8" s="7" t="s">
        <v>8</v>
      </c>
      <c r="AD8" s="7" t="s">
        <v>39</v>
      </c>
      <c r="AE8" s="7" t="s">
        <v>8</v>
      </c>
      <c r="AF8" s="7" t="s">
        <v>8</v>
      </c>
      <c r="AG8" s="7" t="s">
        <v>9</v>
      </c>
      <c r="AH8" s="7">
        <f>COUNTIF(C8:AG8,"P*")+COUNTIF(C8:AG8,"H*")*0.5</f>
        <v>21</v>
      </c>
      <c r="AI8" s="8">
        <f>COUNTIF(C8:AG8,"P+1")*1+COUNTIF(C8:AG8,"H+1")*1+COUNTIF(C8:AF8,"P+2")*2+COUNTIF(C8:AF8,"H+2")*2+COUNTIF(C8:AF8,"P+3")*3+COUNTIF(C8:AF8,"H+3")*3+COUNTIF(C8:AF8,"P+4")*4+COUNTIF(C8:AF8,"H+4")*4+COUNTIF(C8:AF8,"P+5")*5+COUNTIF(C8:AF8,"H+5")*5+COUNTIF(C8:AF8,"P+6")*6+COUNTIF(C8:AF8,"H+6")*6+COUNTIF(C8:AF8,"P+7")*7+COUNTIF(C8:AF8,"H+7")*7+COUNTIF(C8:AF8,"P+8")*8+COUNTIF(C8:AF8,"H+8")*8+COUNTIF(C8:AF8,"P+9")*9+COUNTIF(C8:AF8,"H+9")*9+COUNTIF(C8:AF8,"P+10")*10+COUNTIF(C8:AF8,"H+10")*10</f>
        <v>6</v>
      </c>
      <c r="AJ8" s="8">
        <f>ROUND(AI8*(B8/8),0)</f>
        <v>353</v>
      </c>
      <c r="AK8" s="7">
        <f>AH8*B8+AJ8</f>
        <v>10223</v>
      </c>
      <c r="AL8" t="e" cm="1" vm="4">
        <f t="array" ref="AL8">_xlfn.IMAGE("https://quickchart.io/qr?size=400&amp;text="&amp;SUBSTITUTE(SUBSTITUTE("Welcome Dear, ☺️"&amp;CHAR(10)&amp;"To The, "&amp;CHAR(10)&amp;"Ms SURINDER KUMAR"&amp;CHAR(10)&amp;"Attendance System"&amp;CHAR(10)&amp;CHAR(10)&amp;"Employee: "&amp;A8&amp;CHAR(10)&amp;"Month: "&amp;TEXT(C$4,"mmmm yyyy")&amp;CHAR(10)&amp;CHAR(10)&amp;_xlfn.TEXTJOIN(CHAR(10),TRUE,IF(C$4:AG$4&lt;&gt;"",TEXT(C$4:AG$4,"dd-mm-yyyy")&amp;" : "&amp;C8:AG8,""))&amp;CHAR(10)&amp;CHAR(10)&amp;"Total Present: "&amp;COUNTIF(C8:AG8,"P*")&amp;" Days"&amp;CHAR(10)&amp;"Total Half Day: "&amp;COUNTIF(C8:AG8,"H")&amp;" Days"&amp;CHAR(10)&amp;"Total OT Wage: Rs "&amp;AJ8&amp;CHAR(10)&amp;"Monthly Wage: Rs "&amp;AK8," ","%20"),CHAR(10),"%0A"))</f>
        <v>#VALUE!</v>
      </c>
    </row>
    <row r="9" spans="1:38" ht="15.6" customHeight="1" x14ac:dyDescent="0.2">
      <c r="A9" s="20" t="s">
        <v>20</v>
      </c>
      <c r="B9" s="7">
        <v>460</v>
      </c>
      <c r="C9" s="7" t="s">
        <v>9</v>
      </c>
      <c r="D9" s="7" t="s">
        <v>9</v>
      </c>
      <c r="E9" s="7" t="s">
        <v>8</v>
      </c>
      <c r="F9" s="7" t="s">
        <v>8</v>
      </c>
      <c r="G9" s="7" t="s">
        <v>8</v>
      </c>
      <c r="H9" s="7" t="s">
        <v>8</v>
      </c>
      <c r="I9" s="7" t="s">
        <v>9</v>
      </c>
      <c r="J9" s="7" t="s">
        <v>8</v>
      </c>
      <c r="K9" s="7" t="s">
        <v>39</v>
      </c>
      <c r="L9" s="7" t="s">
        <v>8</v>
      </c>
      <c r="M9" s="7" t="s">
        <v>9</v>
      </c>
      <c r="N9" s="7" t="s">
        <v>9</v>
      </c>
      <c r="O9" s="7" t="s">
        <v>8</v>
      </c>
      <c r="P9" s="7" t="s">
        <v>8</v>
      </c>
      <c r="Q9" s="7" t="s">
        <v>39</v>
      </c>
      <c r="R9" s="7" t="s">
        <v>9</v>
      </c>
      <c r="S9" s="7" t="s">
        <v>9</v>
      </c>
      <c r="T9" s="7" t="s">
        <v>8</v>
      </c>
      <c r="U9" s="7" t="s">
        <v>8</v>
      </c>
      <c r="V9" s="7" t="s">
        <v>8</v>
      </c>
      <c r="W9" s="7" t="s">
        <v>9</v>
      </c>
      <c r="X9" s="7" t="s">
        <v>9</v>
      </c>
      <c r="Y9" s="7" t="s">
        <v>39</v>
      </c>
      <c r="Z9" s="7" t="s">
        <v>8</v>
      </c>
      <c r="AA9" s="7" t="s">
        <v>9</v>
      </c>
      <c r="AB9" s="7" t="s">
        <v>9</v>
      </c>
      <c r="AC9" s="7" t="s">
        <v>9</v>
      </c>
      <c r="AD9" s="7" t="s">
        <v>39</v>
      </c>
      <c r="AE9" s="7" t="s">
        <v>9</v>
      </c>
      <c r="AF9" s="7" t="s">
        <v>9</v>
      </c>
      <c r="AG9" s="7" t="s">
        <v>9</v>
      </c>
      <c r="AH9" s="7">
        <f>COUNTIF(C9:AG9,"P*")+COUNTIF(C9:AG9,"H*")*0.5</f>
        <v>12</v>
      </c>
      <c r="AI9" s="8">
        <f>COUNTIF(C9:AG9,"P+1")*1+COUNTIF(C9:AG9,"H+1")*1+COUNTIF(C9:AF9,"P+2")*2+COUNTIF(C9:AF9,"H+2")*2+COUNTIF(C9:AF9,"P+3")*3+COUNTIF(C9:AF9,"H+3")*3+COUNTIF(C9:AF9,"P+4")*4+COUNTIF(C9:AF9,"H+4")*4+COUNTIF(C9:AF9,"P+5")*5+COUNTIF(C9:AF9,"H+5")*5+COUNTIF(C9:AF9,"P+6")*6+COUNTIF(C9:AF9,"H+6")*6+COUNTIF(C9:AF9,"P+7")*7+COUNTIF(C9:AF9,"H+7")*7+COUNTIF(C9:AF9,"P+8")*8+COUNTIF(C9:AF9,"H+8")*8+COUNTIF(C9:AF9,"P+9")*9+COUNTIF(C9:AF9,"H+9")*9+COUNTIF(C9:AF9,"P+10")*10+COUNTIF(C9:AF9,"H+10")*10</f>
        <v>0</v>
      </c>
      <c r="AJ9" s="8">
        <f>ROUND(AI9*(B9/8),0)</f>
        <v>0</v>
      </c>
      <c r="AK9" s="7">
        <f>AH9*B9+AJ9</f>
        <v>5520</v>
      </c>
      <c r="AL9" t="e" cm="1" vm="5">
        <f t="array" ref="AL9">_xlfn.IMAGE("https://quickchart.io/qr?size=400&amp;text="&amp;SUBSTITUTE(SUBSTITUTE("Welcome Dear, ☺️"&amp;CHAR(10)&amp;"To The, "&amp;CHAR(10)&amp;"Ms SURINDER KUMAR"&amp;CHAR(10)&amp;"Attendance System"&amp;CHAR(10)&amp;CHAR(10)&amp;"Employee: "&amp;A9&amp;CHAR(10)&amp;"Month: "&amp;TEXT(C$4,"mmmm yyyy")&amp;CHAR(10)&amp;CHAR(10)&amp;_xlfn.TEXTJOIN(CHAR(10),TRUE,IF(C$4:AG$4&lt;&gt;"",TEXT(C$4:AG$4,"dd-mm-yyyy")&amp;" : "&amp;C9:AG9,""))&amp;CHAR(10)&amp;CHAR(10)&amp;"Total Present: "&amp;COUNTIF(C9:AG9,"P*")&amp;" Days"&amp;CHAR(10)&amp;"Total Half Day: "&amp;COUNTIF(C9:AG9,"H")&amp;" Days"&amp;CHAR(10)&amp;"Total OT Wage: Rs "&amp;AJ9&amp;CHAR(10)&amp;"Monthly Wage: Rs "&amp;AK9," ","%20"),CHAR(10),"%0A"))</f>
        <v>#VALUE!</v>
      </c>
    </row>
    <row r="10" spans="1:38" ht="15.6" customHeight="1" x14ac:dyDescent="0.2">
      <c r="A10" s="20" t="s">
        <v>11</v>
      </c>
      <c r="B10" s="7">
        <v>520</v>
      </c>
      <c r="C10" s="7" t="s">
        <v>7</v>
      </c>
      <c r="D10" s="7" t="s">
        <v>9</v>
      </c>
      <c r="E10" s="7" t="s">
        <v>7</v>
      </c>
      <c r="F10" s="7" t="s">
        <v>7</v>
      </c>
      <c r="G10" s="7" t="s">
        <v>7</v>
      </c>
      <c r="H10" s="7" t="s">
        <v>9</v>
      </c>
      <c r="I10" s="7" t="s">
        <v>7</v>
      </c>
      <c r="J10" s="7" t="s">
        <v>8</v>
      </c>
      <c r="K10" s="7" t="s">
        <v>39</v>
      </c>
      <c r="L10" s="7" t="s">
        <v>8</v>
      </c>
      <c r="M10" s="7" t="s">
        <v>7</v>
      </c>
      <c r="N10" s="7" t="s">
        <v>7</v>
      </c>
      <c r="O10" s="7" t="s">
        <v>8</v>
      </c>
      <c r="P10" s="7" t="s">
        <v>7</v>
      </c>
      <c r="Q10" s="7" t="s">
        <v>39</v>
      </c>
      <c r="R10" s="7" t="s">
        <v>9</v>
      </c>
      <c r="S10" s="7" t="s">
        <v>9</v>
      </c>
      <c r="T10" s="7" t="s">
        <v>7</v>
      </c>
      <c r="U10" s="7" t="s">
        <v>7</v>
      </c>
      <c r="V10" s="7" t="s">
        <v>8</v>
      </c>
      <c r="W10" s="7" t="s">
        <v>7</v>
      </c>
      <c r="X10" s="7" t="s">
        <v>7</v>
      </c>
      <c r="Y10" s="7" t="s">
        <v>39</v>
      </c>
      <c r="Z10" s="7" t="s">
        <v>7</v>
      </c>
      <c r="AA10" s="7" t="s">
        <v>7</v>
      </c>
      <c r="AB10" s="7" t="s">
        <v>7</v>
      </c>
      <c r="AC10" s="7" t="s">
        <v>7</v>
      </c>
      <c r="AD10" s="7" t="s">
        <v>39</v>
      </c>
      <c r="AE10" s="7" t="s">
        <v>7</v>
      </c>
      <c r="AF10" s="7" t="s">
        <v>8</v>
      </c>
      <c r="AG10" s="7" t="s">
        <v>8</v>
      </c>
      <c r="AH10" s="7">
        <f>COUNTIF(C10:AG10,"P*")+COUNTIF(C10:AG10,"H*")*0.5</f>
        <v>23</v>
      </c>
      <c r="AI10" s="8">
        <f>COUNTIF(C10:AG10,"P+1")*1+COUNTIF(C10:AG10,"H+1")*1+COUNTIF(C10:AF10,"P+2")*2+COUNTIF(C10:AF10,"H+2")*2+COUNTIF(C10:AF10,"P+3")*3+COUNTIF(C10:AF10,"H+3")*3+COUNTIF(C10:AF10,"P+4")*4+COUNTIF(C10:AF10,"H+4")*4+COUNTIF(C10:AF10,"P+5")*5+COUNTIF(C10:AF10,"H+5")*5+COUNTIF(C10:AF10,"P+6")*6+COUNTIF(C10:AF10,"H+6")*6+COUNTIF(C10:AF10,"P+7")*7+COUNTIF(C10:AF10,"H+7")*7+COUNTIF(C10:AF10,"P+8")*8+COUNTIF(C10:AF10,"H+8")*8+COUNTIF(C10:AF10,"P+9")*9+COUNTIF(C10:AF10,"H+9")*9+COUNTIF(C10:AF10,"P+10")*10+COUNTIF(C10:AF10,"H+10")*10</f>
        <v>17</v>
      </c>
      <c r="AJ10" s="8">
        <f>ROUND(AI10*(B10/8),0)</f>
        <v>1105</v>
      </c>
      <c r="AK10" s="7">
        <f>AH10*B10+AJ10</f>
        <v>13065</v>
      </c>
      <c r="AL10" t="e" cm="1" vm="6">
        <f t="array" ref="AL10">_xlfn.IMAGE("https://quickchart.io/qr?size=400&amp;text="&amp;SUBSTITUTE(SUBSTITUTE("Welcome Dear, ☺️"&amp;CHAR(10)&amp;"To The, "&amp;CHAR(10)&amp;"Ms SURINDER KUMAR"&amp;CHAR(10)&amp;"Attendance System"&amp;CHAR(10)&amp;CHAR(10)&amp;"Employee: "&amp;A10&amp;CHAR(10)&amp;"Month: "&amp;TEXT(C$4,"mmmm yyyy")&amp;CHAR(10)&amp;CHAR(10)&amp;_xlfn.TEXTJOIN(CHAR(10),TRUE,IF(C$4:AG$4&lt;&gt;"",TEXT(C$4:AG$4,"dd-mm-yyyy")&amp;" : "&amp;C10:AG10,""))&amp;CHAR(10)&amp;CHAR(10)&amp;"Total Present: "&amp;COUNTIF(C10:AG10,"P*")&amp;" Days"&amp;CHAR(10)&amp;"Total Half Day: "&amp;COUNTIF(C10:AG10,"H")&amp;" Days"&amp;CHAR(10)&amp;"Total OT Wage: Rs "&amp;AJ10&amp;CHAR(10)&amp;"Monthly Wage: Rs "&amp;AK10," ","%20"),CHAR(10),"%0A"))</f>
        <v>#VALUE!</v>
      </c>
    </row>
    <row r="11" spans="1:38" ht="15.6" customHeight="1" x14ac:dyDescent="0.2">
      <c r="A11" s="20" t="s">
        <v>18</v>
      </c>
      <c r="B11" s="7">
        <v>450</v>
      </c>
      <c r="C11" s="7" t="s">
        <v>7</v>
      </c>
      <c r="D11" s="7" t="s">
        <v>9</v>
      </c>
      <c r="E11" s="7" t="s">
        <v>7</v>
      </c>
      <c r="F11" s="7" t="s">
        <v>7</v>
      </c>
      <c r="G11" s="7" t="s">
        <v>7</v>
      </c>
      <c r="H11" s="7" t="s">
        <v>8</v>
      </c>
      <c r="I11" s="7" t="s">
        <v>7</v>
      </c>
      <c r="J11" s="7" t="s">
        <v>9</v>
      </c>
      <c r="K11" s="7" t="s">
        <v>39</v>
      </c>
      <c r="L11" s="7" t="s">
        <v>8</v>
      </c>
      <c r="M11" s="7" t="s">
        <v>8</v>
      </c>
      <c r="N11" s="7" t="s">
        <v>9</v>
      </c>
      <c r="O11" s="7" t="s">
        <v>8</v>
      </c>
      <c r="P11" s="7" t="s">
        <v>7</v>
      </c>
      <c r="Q11" s="7" t="s">
        <v>39</v>
      </c>
      <c r="R11" s="7" t="s">
        <v>8</v>
      </c>
      <c r="S11" s="7" t="s">
        <v>9</v>
      </c>
      <c r="T11" s="7" t="s">
        <v>9</v>
      </c>
      <c r="U11" s="7" t="s">
        <v>7</v>
      </c>
      <c r="V11" s="7" t="s">
        <v>8</v>
      </c>
      <c r="W11" s="7" t="s">
        <v>8</v>
      </c>
      <c r="X11" s="7" t="s">
        <v>7</v>
      </c>
      <c r="Y11" s="7" t="s">
        <v>39</v>
      </c>
      <c r="Z11" s="7" t="s">
        <v>7</v>
      </c>
      <c r="AA11" s="7" t="s">
        <v>8</v>
      </c>
      <c r="AB11" s="7" t="s">
        <v>8</v>
      </c>
      <c r="AC11" s="7" t="s">
        <v>8</v>
      </c>
      <c r="AD11" s="7" t="s">
        <v>39</v>
      </c>
      <c r="AE11" s="7" t="s">
        <v>8</v>
      </c>
      <c r="AF11" s="7" t="s">
        <v>8</v>
      </c>
      <c r="AG11" s="7" t="s">
        <v>8</v>
      </c>
      <c r="AH11" s="7">
        <f>COUNTIF(C11:AG11,"P*")+COUNTIF(C11:AG11,"H*")*0.5</f>
        <v>22</v>
      </c>
      <c r="AI11" s="8">
        <f>COUNTIF(C11:AG11,"P+1")*1+COUNTIF(C11:AG11,"H+1")*1+COUNTIF(C11:AF11,"P+2")*2+COUNTIF(C11:AF11,"H+2")*2+COUNTIF(C11:AF11,"P+3")*3+COUNTIF(C11:AF11,"H+3")*3+COUNTIF(C11:AF11,"P+4")*4+COUNTIF(C11:AF11,"H+4")*4+COUNTIF(C11:AF11,"P+5")*5+COUNTIF(C11:AF11,"H+5")*5+COUNTIF(C11:AF11,"P+6")*6+COUNTIF(C11:AF11,"H+6")*6+COUNTIF(C11:AF11,"P+7")*7+COUNTIF(C11:AF11,"H+7")*7+COUNTIF(C11:AF11,"P+8")*8+COUNTIF(C11:AF11,"H+8")*8+COUNTIF(C11:AF11,"P+9")*9+COUNTIF(C11:AF11,"H+9")*9+COUNTIF(C11:AF11,"P+10")*10+COUNTIF(C11:AF11,"H+10")*10</f>
        <v>9</v>
      </c>
      <c r="AJ11" s="8">
        <f>ROUND(AI11*(B11/8),0)</f>
        <v>506</v>
      </c>
      <c r="AK11" s="7">
        <f>AH11*B11+AJ11</f>
        <v>10406</v>
      </c>
      <c r="AL11" t="e" cm="1" vm="7">
        <f t="array" ref="AL11">_xlfn.IMAGE("https://quickchart.io/qr?size=400&amp;text="&amp;SUBSTITUTE(SUBSTITUTE("Welcome Dear, ☺️"&amp;CHAR(10)&amp;"To The, "&amp;CHAR(10)&amp;"Ms SURINDER KUMAR"&amp;CHAR(10)&amp;"Attendance System"&amp;CHAR(10)&amp;CHAR(10)&amp;"Employee: "&amp;A11&amp;CHAR(10)&amp;"Month: "&amp;TEXT(C$4,"mmmm yyyy")&amp;CHAR(10)&amp;CHAR(10)&amp;_xlfn.TEXTJOIN(CHAR(10),TRUE,IF(C$4:AG$4&lt;&gt;"",TEXT(C$4:AG$4,"dd-mm-yyyy")&amp;" : "&amp;C11:AG11,""))&amp;CHAR(10)&amp;CHAR(10)&amp;"Total Present: "&amp;COUNTIF(C11:AG11,"P*")&amp;" Days"&amp;CHAR(10)&amp;"Total Half Day: "&amp;COUNTIF(C11:AG11,"H")&amp;" Days"&amp;CHAR(10)&amp;"Total OT Wage: Rs "&amp;AJ11&amp;CHAR(10)&amp;"Monthly Wage: Rs "&amp;AK11," ","%20"),CHAR(10),"%0A"))</f>
        <v>#VALUE!</v>
      </c>
    </row>
    <row r="12" spans="1:38" ht="15.6" customHeight="1" x14ac:dyDescent="0.2">
      <c r="A12" s="20" t="s">
        <v>17</v>
      </c>
      <c r="B12" s="7">
        <v>700</v>
      </c>
      <c r="C12" s="7" t="s">
        <v>7</v>
      </c>
      <c r="D12" s="7" t="s">
        <v>8</v>
      </c>
      <c r="E12" s="7" t="s">
        <v>7</v>
      </c>
      <c r="F12" s="7" t="s">
        <v>7</v>
      </c>
      <c r="G12" s="7" t="s">
        <v>7</v>
      </c>
      <c r="H12" s="7" t="s">
        <v>7</v>
      </c>
      <c r="I12" s="7" t="s">
        <v>8</v>
      </c>
      <c r="J12" s="7" t="s">
        <v>9</v>
      </c>
      <c r="K12" s="7" t="s">
        <v>39</v>
      </c>
      <c r="L12" s="7" t="s">
        <v>9</v>
      </c>
      <c r="M12" s="7" t="s">
        <v>8</v>
      </c>
      <c r="N12" s="7" t="s">
        <v>9</v>
      </c>
      <c r="O12" s="7" t="s">
        <v>8</v>
      </c>
      <c r="P12" s="7" t="s">
        <v>7</v>
      </c>
      <c r="Q12" s="7" t="s">
        <v>39</v>
      </c>
      <c r="R12" s="7" t="s">
        <v>8</v>
      </c>
      <c r="S12" s="7" t="s">
        <v>7</v>
      </c>
      <c r="T12" s="7" t="s">
        <v>7</v>
      </c>
      <c r="U12" s="7" t="s">
        <v>7</v>
      </c>
      <c r="V12" s="7" t="s">
        <v>8</v>
      </c>
      <c r="W12" s="7" t="s">
        <v>7</v>
      </c>
      <c r="X12" s="7" t="s">
        <v>9</v>
      </c>
      <c r="Y12" s="7" t="s">
        <v>39</v>
      </c>
      <c r="Z12" s="7" t="s">
        <v>6</v>
      </c>
      <c r="AA12" s="7" t="s">
        <v>9</v>
      </c>
      <c r="AB12" s="7" t="s">
        <v>9</v>
      </c>
      <c r="AC12" s="7" t="s">
        <v>9</v>
      </c>
      <c r="AD12" s="7" t="s">
        <v>39</v>
      </c>
      <c r="AE12" s="7" t="s">
        <v>9</v>
      </c>
      <c r="AF12" s="7" t="s">
        <v>9</v>
      </c>
      <c r="AG12" s="7" t="s">
        <v>9</v>
      </c>
      <c r="AH12" s="7">
        <f>COUNTIF(C12:AG12,"P*")+COUNTIF(C12:AG12,"H*")*0.5</f>
        <v>16.5</v>
      </c>
      <c r="AI12" s="8">
        <f>COUNTIF(C12:AG12,"P+1")*1+COUNTIF(C12:AG12,"H+1")*1+COUNTIF(C12:AF12,"P+2")*2+COUNTIF(C12:AF12,"H+2")*2+COUNTIF(C12:AF12,"P+3")*3+COUNTIF(C12:AF12,"H+3")*3+COUNTIF(C12:AF12,"P+4")*4+COUNTIF(C12:AF12,"H+4")*4+COUNTIF(C12:AF12,"P+5")*5+COUNTIF(C12:AF12,"H+5")*5+COUNTIF(C12:AF12,"P+6")*6+COUNTIF(C12:AF12,"H+6")*6+COUNTIF(C12:AF12,"P+7")*7+COUNTIF(C12:AF12,"H+7")*7+COUNTIF(C12:AF12,"P+8")*8+COUNTIF(C12:AF12,"H+8")*8+COUNTIF(C12:AF12,"P+9")*9+COUNTIF(C12:AF12,"H+9")*9+COUNTIF(C12:AF12,"P+10")*10+COUNTIF(C12:AF12,"H+10")*10</f>
        <v>10</v>
      </c>
      <c r="AJ12" s="8">
        <f>ROUND(AI12*(B12/8),0)</f>
        <v>875</v>
      </c>
      <c r="AK12" s="7">
        <f>AH12*B12+AJ12</f>
        <v>12425</v>
      </c>
      <c r="AL12" t="e" cm="1" vm="8">
        <f t="array" ref="AL12">_xlfn.IMAGE("https://quickchart.io/qr?size=400&amp;text="&amp;SUBSTITUTE(SUBSTITUTE("Welcome Dear, ☺️"&amp;CHAR(10)&amp;"To The, "&amp;CHAR(10)&amp;"Ms SURINDER KUMAR"&amp;CHAR(10)&amp;"Attendance System"&amp;CHAR(10)&amp;CHAR(10)&amp;"Employee: "&amp;A12&amp;CHAR(10)&amp;"Month: "&amp;TEXT(C$4,"mmmm yyyy")&amp;CHAR(10)&amp;CHAR(10)&amp;_xlfn.TEXTJOIN(CHAR(10),TRUE,IF(C$4:AG$4&lt;&gt;"",TEXT(C$4:AG$4,"dd-mm-yyyy")&amp;" : "&amp;C12:AG12,""))&amp;CHAR(10)&amp;CHAR(10)&amp;"Total Present: "&amp;COUNTIF(C12:AG12,"P*")&amp;" Days"&amp;CHAR(10)&amp;"Total Half Day: "&amp;COUNTIF(C12:AG12,"H")&amp;" Days"&amp;CHAR(10)&amp;"Total OT Wage: Rs "&amp;AJ12&amp;CHAR(10)&amp;"Monthly Wage: Rs "&amp;AK12," ","%20"),CHAR(10),"%0A"))</f>
        <v>#VALUE!</v>
      </c>
    </row>
    <row r="13" spans="1:38" ht="15.6" customHeight="1" x14ac:dyDescent="0.2">
      <c r="A13" s="20" t="s">
        <v>22</v>
      </c>
      <c r="B13" s="7">
        <v>480</v>
      </c>
      <c r="C13" s="7" t="s">
        <v>8</v>
      </c>
      <c r="D13" s="7" t="s">
        <v>9</v>
      </c>
      <c r="E13" s="7" t="s">
        <v>8</v>
      </c>
      <c r="F13" s="7" t="s">
        <v>9</v>
      </c>
      <c r="G13" s="7" t="s">
        <v>8</v>
      </c>
      <c r="H13" s="7" t="s">
        <v>8</v>
      </c>
      <c r="I13" s="7" t="s">
        <v>9</v>
      </c>
      <c r="J13" s="7" t="s">
        <v>9</v>
      </c>
      <c r="K13" s="7" t="s">
        <v>39</v>
      </c>
      <c r="L13" s="7" t="s">
        <v>8</v>
      </c>
      <c r="M13" s="7" t="s">
        <v>9</v>
      </c>
      <c r="N13" s="7" t="s">
        <v>8</v>
      </c>
      <c r="O13" s="7" t="s">
        <v>8</v>
      </c>
      <c r="P13" s="7" t="s">
        <v>9</v>
      </c>
      <c r="Q13" s="7" t="s">
        <v>39</v>
      </c>
      <c r="R13" s="7" t="s">
        <v>9</v>
      </c>
      <c r="S13" s="7" t="s">
        <v>8</v>
      </c>
      <c r="T13" s="7" t="s">
        <v>8</v>
      </c>
      <c r="U13" s="7" t="s">
        <v>9</v>
      </c>
      <c r="V13" s="7" t="s">
        <v>8</v>
      </c>
      <c r="W13" s="7" t="s">
        <v>6</v>
      </c>
      <c r="X13" s="7" t="s">
        <v>8</v>
      </c>
      <c r="Y13" s="7" t="s">
        <v>39</v>
      </c>
      <c r="Z13" s="7" t="s">
        <v>9</v>
      </c>
      <c r="AA13" s="7" t="s">
        <v>8</v>
      </c>
      <c r="AB13" s="7" t="s">
        <v>8</v>
      </c>
      <c r="AC13" s="7" t="s">
        <v>9</v>
      </c>
      <c r="AD13" s="7" t="s">
        <v>39</v>
      </c>
      <c r="AE13" s="7" t="s">
        <v>9</v>
      </c>
      <c r="AF13" s="7" t="s">
        <v>9</v>
      </c>
      <c r="AG13" s="7" t="s">
        <v>8</v>
      </c>
      <c r="AH13" s="7">
        <f>COUNTIF(C13:AG13,"P*")+COUNTIF(C13:AG13,"H*")*0.5</f>
        <v>14.5</v>
      </c>
      <c r="AI13" s="8">
        <f>COUNTIF(C13:AG13,"P+1")*1+COUNTIF(C13:AG13,"H+1")*1+COUNTIF(C13:AF13,"P+2")*2+COUNTIF(C13:AF13,"H+2")*2+COUNTIF(C13:AF13,"P+3")*3+COUNTIF(C13:AF13,"H+3")*3+COUNTIF(C13:AF13,"P+4")*4+COUNTIF(C13:AF13,"H+4")*4+COUNTIF(C13:AF13,"P+5")*5+COUNTIF(C13:AF13,"H+5")*5+COUNTIF(C13:AF13,"P+6")*6+COUNTIF(C13:AF13,"H+6")*6+COUNTIF(C13:AF13,"P+7")*7+COUNTIF(C13:AF13,"H+7")*7+COUNTIF(C13:AF13,"P+8")*8+COUNTIF(C13:AF13,"H+8")*8+COUNTIF(C13:AF13,"P+9")*9+COUNTIF(C13:AF13,"H+9")*9+COUNTIF(C13:AF13,"P+10")*10+COUNTIF(C13:AF13,"H+10")*10</f>
        <v>0</v>
      </c>
      <c r="AJ13" s="8">
        <f>ROUND(AI13*(B13/8),0)</f>
        <v>0</v>
      </c>
      <c r="AK13" s="7">
        <f>AH13*B13+AJ13</f>
        <v>6960</v>
      </c>
      <c r="AL13" t="e" cm="1" vm="9">
        <f t="array" ref="AL13">_xlfn.IMAGE("https://quickchart.io/qr?size=400&amp;text="&amp;SUBSTITUTE(SUBSTITUTE("Welcome Dear, ☺️"&amp;CHAR(10)&amp;"To The, "&amp;CHAR(10)&amp;"Ms SURINDER KUMAR"&amp;CHAR(10)&amp;"Attendance System"&amp;CHAR(10)&amp;CHAR(10)&amp;"Employee: "&amp;A13&amp;CHAR(10)&amp;"Month: "&amp;TEXT(C$4,"mmmm yyyy")&amp;CHAR(10)&amp;CHAR(10)&amp;_xlfn.TEXTJOIN(CHAR(10),TRUE,IF(C$4:AG$4&lt;&gt;"",TEXT(C$4:AG$4,"dd-mm-yyyy")&amp;" : "&amp;C13:AG13,""))&amp;CHAR(10)&amp;CHAR(10)&amp;"Total Present: "&amp;COUNTIF(C13:AG13,"P*")&amp;" Days"&amp;CHAR(10)&amp;"Total Half Day: "&amp;COUNTIF(C13:AG13,"H")&amp;" Days"&amp;CHAR(10)&amp;"Total OT Wage: Rs "&amp;AJ13&amp;CHAR(10)&amp;"Monthly Wage: Rs "&amp;AK13," ","%20"),CHAR(10),"%0A"))</f>
        <v>#VALUE!</v>
      </c>
    </row>
    <row r="14" spans="1:38" ht="15.6" customHeight="1" x14ac:dyDescent="0.2">
      <c r="A14" s="20" t="s">
        <v>21</v>
      </c>
      <c r="B14" s="7">
        <v>430</v>
      </c>
      <c r="C14" s="7" t="s">
        <v>7</v>
      </c>
      <c r="D14" s="7" t="s">
        <v>8</v>
      </c>
      <c r="E14" s="7" t="s">
        <v>7</v>
      </c>
      <c r="F14" s="7" t="s">
        <v>7</v>
      </c>
      <c r="G14" s="7" t="s">
        <v>8</v>
      </c>
      <c r="H14" s="7" t="s">
        <v>7</v>
      </c>
      <c r="I14" s="7" t="s">
        <v>9</v>
      </c>
      <c r="J14" s="7" t="s">
        <v>8</v>
      </c>
      <c r="K14" s="7" t="s">
        <v>39</v>
      </c>
      <c r="L14" s="7" t="s">
        <v>8</v>
      </c>
      <c r="M14" s="7" t="s">
        <v>7</v>
      </c>
      <c r="N14" s="7" t="s">
        <v>7</v>
      </c>
      <c r="O14" s="7" t="s">
        <v>8</v>
      </c>
      <c r="P14" s="7" t="s">
        <v>9</v>
      </c>
      <c r="Q14" s="7" t="s">
        <v>39</v>
      </c>
      <c r="R14" s="7" t="s">
        <v>8</v>
      </c>
      <c r="S14" s="7" t="s">
        <v>9</v>
      </c>
      <c r="T14" s="7" t="s">
        <v>7</v>
      </c>
      <c r="U14" s="7" t="s">
        <v>7</v>
      </c>
      <c r="V14" s="7" t="s">
        <v>8</v>
      </c>
      <c r="W14" s="7" t="s">
        <v>7</v>
      </c>
      <c r="X14" s="7" t="s">
        <v>7</v>
      </c>
      <c r="Y14" s="7" t="s">
        <v>39</v>
      </c>
      <c r="Z14" s="7" t="s">
        <v>7</v>
      </c>
      <c r="AA14" s="7" t="s">
        <v>7</v>
      </c>
      <c r="AB14" s="7" t="s">
        <v>7</v>
      </c>
      <c r="AC14" s="7" t="s">
        <v>8</v>
      </c>
      <c r="AD14" s="7" t="s">
        <v>39</v>
      </c>
      <c r="AE14" s="7" t="s">
        <v>7</v>
      </c>
      <c r="AF14" s="7" t="s">
        <v>9</v>
      </c>
      <c r="AG14" s="7" t="s">
        <v>8</v>
      </c>
      <c r="AH14" s="7">
        <f>COUNTIF(C14:AG14,"P*")+COUNTIF(C14:AG14,"H*")*0.5</f>
        <v>23</v>
      </c>
      <c r="AI14" s="8">
        <f>COUNTIF(C14:AG14,"P+1")*1+COUNTIF(C14:AG14,"H+1")*1+COUNTIF(C14:AF14,"P+2")*2+COUNTIF(C14:AF14,"H+2")*2+COUNTIF(C14:AF14,"P+3")*3+COUNTIF(C14:AF14,"H+3")*3+COUNTIF(C14:AF14,"P+4")*4+COUNTIF(C14:AF14,"H+4")*4+COUNTIF(C14:AF14,"P+5")*5+COUNTIF(C14:AF14,"H+5")*5+COUNTIF(C14:AF14,"P+6")*6+COUNTIF(C14:AF14,"H+6")*6+COUNTIF(C14:AF14,"P+7")*7+COUNTIF(C14:AF14,"H+7")*7+COUNTIF(C14:AF14,"P+8")*8+COUNTIF(C14:AF14,"H+8")*8+COUNTIF(C14:AF14,"P+9")*9+COUNTIF(C14:AF14,"H+9")*9+COUNTIF(C14:AF14,"P+10")*10+COUNTIF(C14:AF14,"H+10")*10</f>
        <v>14</v>
      </c>
      <c r="AJ14" s="8">
        <f>ROUND(AI14*(B14/8),0)</f>
        <v>753</v>
      </c>
      <c r="AK14" s="7">
        <f>AH14*B14+AJ14</f>
        <v>10643</v>
      </c>
      <c r="AL14" t="e" cm="1" vm="10">
        <f t="array" ref="AL14">_xlfn.IMAGE("https://quickchart.io/qr?size=400&amp;text="&amp;SUBSTITUTE(SUBSTITUTE("Welcome Dear, ☺️"&amp;CHAR(10)&amp;"To The, "&amp;CHAR(10)&amp;"Ms SURINDER KUMAR"&amp;CHAR(10)&amp;"Attendance System"&amp;CHAR(10)&amp;CHAR(10)&amp;"Employee: "&amp;A14&amp;CHAR(10)&amp;"Month: "&amp;TEXT(C$4,"mmmm yyyy")&amp;CHAR(10)&amp;CHAR(10)&amp;_xlfn.TEXTJOIN(CHAR(10),TRUE,IF(C$4:AG$4&lt;&gt;"",TEXT(C$4:AG$4,"dd-mm-yyyy")&amp;" : "&amp;C14:AG14,""))&amp;CHAR(10)&amp;CHAR(10)&amp;"Total Present: "&amp;COUNTIF(C14:AG14,"P*")&amp;" Days"&amp;CHAR(10)&amp;"Total Half Day: "&amp;COUNTIF(C14:AG14,"H")&amp;" Days"&amp;CHAR(10)&amp;"Total OT Wage: Rs "&amp;AJ14&amp;CHAR(10)&amp;"Monthly Wage: Rs "&amp;AK14," ","%20"),CHAR(10),"%0A"))</f>
        <v>#VALUE!</v>
      </c>
    </row>
    <row r="15" spans="1:38" ht="15.6" customHeight="1" x14ac:dyDescent="0.2">
      <c r="A15" s="20" t="s">
        <v>12</v>
      </c>
      <c r="B15" s="7">
        <v>550</v>
      </c>
      <c r="C15" s="7" t="s">
        <v>7</v>
      </c>
      <c r="D15" s="7" t="s">
        <v>9</v>
      </c>
      <c r="E15" s="7" t="s">
        <v>7</v>
      </c>
      <c r="F15" s="7" t="s">
        <v>7</v>
      </c>
      <c r="G15" s="7" t="s">
        <v>7</v>
      </c>
      <c r="H15" s="7" t="s">
        <v>8</v>
      </c>
      <c r="I15" s="7" t="s">
        <v>9</v>
      </c>
      <c r="J15" s="7" t="s">
        <v>9</v>
      </c>
      <c r="K15" s="7" t="s">
        <v>39</v>
      </c>
      <c r="L15" s="7" t="s">
        <v>8</v>
      </c>
      <c r="M15" s="7" t="s">
        <v>7</v>
      </c>
      <c r="N15" s="7"/>
      <c r="O15" s="7" t="s">
        <v>8</v>
      </c>
      <c r="P15" s="7" t="s">
        <v>7</v>
      </c>
      <c r="Q15" s="7" t="s">
        <v>39</v>
      </c>
      <c r="R15" s="7" t="s">
        <v>8</v>
      </c>
      <c r="S15" s="7" t="s">
        <v>9</v>
      </c>
      <c r="T15" s="7" t="s">
        <v>7</v>
      </c>
      <c r="U15" s="7" t="s">
        <v>7</v>
      </c>
      <c r="V15" s="7" t="s">
        <v>6</v>
      </c>
      <c r="W15" s="7" t="s">
        <v>7</v>
      </c>
      <c r="X15" s="7" t="s">
        <v>6</v>
      </c>
      <c r="Y15" s="7" t="s">
        <v>39</v>
      </c>
      <c r="Z15" s="7" t="s">
        <v>7</v>
      </c>
      <c r="AA15" s="7" t="s">
        <v>6</v>
      </c>
      <c r="AB15" s="7" t="s">
        <v>7</v>
      </c>
      <c r="AC15" s="7" t="s">
        <v>7</v>
      </c>
      <c r="AD15" s="7" t="s">
        <v>39</v>
      </c>
      <c r="AE15" s="7" t="s">
        <v>9</v>
      </c>
      <c r="AF15" s="7" t="s">
        <v>8</v>
      </c>
      <c r="AG15" s="7" t="s">
        <v>8</v>
      </c>
      <c r="AH15" s="7">
        <f>COUNTIF(C15:AG15,"P*")+COUNTIF(C15:AG15,"H*")*0.5</f>
        <v>19.5</v>
      </c>
      <c r="AI15" s="8">
        <f>COUNTIF(C15:AG15,"P+1")*1+COUNTIF(C15:AG15,"H+1")*1+COUNTIF(C15:AF15,"P+2")*2+COUNTIF(C15:AF15,"H+2")*2+COUNTIF(C15:AF15,"P+3")*3+COUNTIF(C15:AF15,"H+3")*3+COUNTIF(C15:AF15,"P+4")*4+COUNTIF(C15:AF15,"H+4")*4+COUNTIF(C15:AF15,"P+5")*5+COUNTIF(C15:AF15,"H+5")*5+COUNTIF(C15:AF15,"P+6")*6+COUNTIF(C15:AF15,"H+6")*6+COUNTIF(C15:AF15,"P+7")*7+COUNTIF(C15:AF15,"H+7")*7+COUNTIF(C15:AF15,"P+8")*8+COUNTIF(C15:AF15,"H+8")*8+COUNTIF(C15:AF15,"P+9")*9+COUNTIF(C15:AF15,"H+9")*9+COUNTIF(C15:AF15,"P+10")*10+COUNTIF(C15:AF15,"H+10")*10</f>
        <v>12</v>
      </c>
      <c r="AJ15" s="8">
        <f>ROUND(AI15*(B15/8),0)</f>
        <v>825</v>
      </c>
      <c r="AK15" s="7">
        <f>AH15*B15+AJ15</f>
        <v>11550</v>
      </c>
      <c r="AL15" t="e" cm="1" vm="11">
        <f t="array" ref="AL15">_xlfn.IMAGE("https://quickchart.io/qr?size=400&amp;text="&amp;SUBSTITUTE(SUBSTITUTE("Welcome Dear, ☺️"&amp;CHAR(10)&amp;"To The, "&amp;CHAR(10)&amp;"Ms SURINDER KUMAR"&amp;CHAR(10)&amp;"Attendance System"&amp;CHAR(10)&amp;CHAR(10)&amp;"Employee: "&amp;A15&amp;CHAR(10)&amp;"Month: "&amp;TEXT(C$4,"mmmm yyyy")&amp;CHAR(10)&amp;CHAR(10)&amp;_xlfn.TEXTJOIN(CHAR(10),TRUE,IF(C$4:AG$4&lt;&gt;"",TEXT(C$4:AG$4,"dd-mm-yyyy")&amp;" : "&amp;C15:AG15,""))&amp;CHAR(10)&amp;CHAR(10)&amp;"Total Present: "&amp;COUNTIF(C15:AG15,"P*")&amp;" Days"&amp;CHAR(10)&amp;"Total Half Day: "&amp;COUNTIF(C15:AG15,"H")&amp;" Days"&amp;CHAR(10)&amp;"Total OT Wage: Rs "&amp;AJ15&amp;CHAR(10)&amp;"Monthly Wage: Rs "&amp;AK15," ","%20"),CHAR(10),"%0A"))</f>
        <v>#VALUE!</v>
      </c>
    </row>
    <row r="16" spans="1:38" ht="15.6" customHeight="1" x14ac:dyDescent="0.2">
      <c r="A16" s="20" t="s">
        <v>40</v>
      </c>
      <c r="B16" s="7">
        <v>400</v>
      </c>
      <c r="C16" s="7" t="s">
        <v>7</v>
      </c>
      <c r="D16" s="7" t="s">
        <v>8</v>
      </c>
      <c r="E16" s="7" t="s">
        <v>7</v>
      </c>
      <c r="F16" s="7" t="s">
        <v>6</v>
      </c>
      <c r="G16" s="7" t="s">
        <v>7</v>
      </c>
      <c r="H16" s="7" t="s">
        <v>7</v>
      </c>
      <c r="I16" s="7" t="s">
        <v>9</v>
      </c>
      <c r="J16" s="7" t="s">
        <v>9</v>
      </c>
      <c r="K16" s="7" t="s">
        <v>39</v>
      </c>
      <c r="L16" s="7" t="s">
        <v>9</v>
      </c>
      <c r="M16" s="7" t="s">
        <v>9</v>
      </c>
      <c r="N16" s="7" t="s">
        <v>9</v>
      </c>
      <c r="O16" s="7" t="s">
        <v>9</v>
      </c>
      <c r="P16" s="7" t="s">
        <v>9</v>
      </c>
      <c r="Q16" s="7" t="s">
        <v>39</v>
      </c>
      <c r="R16" s="7" t="s">
        <v>9</v>
      </c>
      <c r="S16" s="7" t="s">
        <v>9</v>
      </c>
      <c r="T16" s="7" t="s">
        <v>9</v>
      </c>
      <c r="U16" s="7" t="s">
        <v>9</v>
      </c>
      <c r="V16" s="7" t="s">
        <v>9</v>
      </c>
      <c r="W16" s="7" t="s">
        <v>9</v>
      </c>
      <c r="X16" s="7" t="s">
        <v>9</v>
      </c>
      <c r="Y16" s="7" t="s">
        <v>39</v>
      </c>
      <c r="Z16" s="7" t="s">
        <v>9</v>
      </c>
      <c r="AA16" s="7" t="s">
        <v>9</v>
      </c>
      <c r="AB16" s="7" t="s">
        <v>9</v>
      </c>
      <c r="AC16" s="7" t="s">
        <v>9</v>
      </c>
      <c r="AD16" s="7" t="s">
        <v>39</v>
      </c>
      <c r="AE16" s="7" t="s">
        <v>9</v>
      </c>
      <c r="AF16" s="7" t="s">
        <v>9</v>
      </c>
      <c r="AG16" s="7" t="s">
        <v>9</v>
      </c>
      <c r="AH16" s="7">
        <f>COUNTIF(C16:AG16,"P*")+COUNTIF(C16:AG16,"H*")*0.5</f>
        <v>5.5</v>
      </c>
      <c r="AI16" s="8">
        <f>COUNTIF(C16:AG16,"P+1")*1+COUNTIF(C16:AG16,"H+1")*1+COUNTIF(C16:AF16,"P+2")*2+COUNTIF(C16:AF16,"H+2")*2+COUNTIF(C16:AF16,"P+3")*3+COUNTIF(C16:AF16,"H+3")*3+COUNTIF(C16:AF16,"P+4")*4+COUNTIF(C16:AF16,"H+4")*4+COUNTIF(C16:AF16,"P+5")*5+COUNTIF(C16:AF16,"H+5")*5+COUNTIF(C16:AF16,"P+6")*6+COUNTIF(C16:AF16,"H+6")*6+COUNTIF(C16:AF16,"P+7")*7+COUNTIF(C16:AF16,"H+7")*7+COUNTIF(C16:AF16,"P+8")*8+COUNTIF(C16:AF16,"H+8")*8+COUNTIF(C16:AF16,"P+9")*9+COUNTIF(C16:AF16,"H+9")*9+COUNTIF(C16:AF16,"P+10")*10+COUNTIF(C16:AF16,"H+10")*10</f>
        <v>4</v>
      </c>
      <c r="AJ16" s="8">
        <f>ROUND(AI16*(B16/8),0)</f>
        <v>200</v>
      </c>
      <c r="AK16" s="7">
        <f>AH16*B16+AJ16</f>
        <v>2400</v>
      </c>
      <c r="AL16" t="e" cm="1" vm="12">
        <f t="array" ref="AL16">_xlfn.IMAGE("https://quickchart.io/qr?size=400&amp;text="&amp;SUBSTITUTE(SUBSTITUTE("Welcome Dear, ☺️"&amp;CHAR(10)&amp;"To The, "&amp;CHAR(10)&amp;"Ms SURINDER KUMAR"&amp;CHAR(10)&amp;"Attendance System"&amp;CHAR(10)&amp;CHAR(10)&amp;"Employee: "&amp;A16&amp;CHAR(10)&amp;"Month: "&amp;TEXT(C$4,"mmmm yyyy")&amp;CHAR(10)&amp;CHAR(10)&amp;_xlfn.TEXTJOIN(CHAR(10),TRUE,IF(C$4:AG$4&lt;&gt;"",TEXT(C$4:AG$4,"dd-mm-yyyy")&amp;" : "&amp;C16:AG16,""))&amp;CHAR(10)&amp;CHAR(10)&amp;"Total Present: "&amp;COUNTIF(C16:AG16,"P*")&amp;" Days"&amp;CHAR(10)&amp;"Total Half Day: "&amp;COUNTIF(C16:AG16,"H")&amp;" Days"&amp;CHAR(10)&amp;"Total OT Wage: Rs "&amp;AJ16&amp;CHAR(10)&amp;"Monthly Wage: Rs "&amp;AK16," ","%20"),CHAR(10),"%0A"))</f>
        <v>#VALUE!</v>
      </c>
    </row>
    <row r="17" spans="1:38" ht="15.6" customHeight="1" x14ac:dyDescent="0.2">
      <c r="A17" s="20" t="s">
        <v>38</v>
      </c>
      <c r="B17" s="7">
        <v>450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  <c r="J17" s="7" t="s">
        <v>9</v>
      </c>
      <c r="K17" s="7" t="s">
        <v>39</v>
      </c>
      <c r="L17" s="7" t="s">
        <v>9</v>
      </c>
      <c r="M17" s="7" t="s">
        <v>9</v>
      </c>
      <c r="N17" s="7" t="s">
        <v>9</v>
      </c>
      <c r="O17" s="7" t="s">
        <v>9</v>
      </c>
      <c r="P17" s="7" t="s">
        <v>9</v>
      </c>
      <c r="Q17" s="7" t="s">
        <v>39</v>
      </c>
      <c r="R17" s="7" t="s">
        <v>9</v>
      </c>
      <c r="S17" s="7" t="s">
        <v>9</v>
      </c>
      <c r="T17" s="7" t="s">
        <v>9</v>
      </c>
      <c r="U17" s="7" t="s">
        <v>9</v>
      </c>
      <c r="V17" s="7" t="s">
        <v>9</v>
      </c>
      <c r="W17" s="7" t="s">
        <v>9</v>
      </c>
      <c r="X17" s="7" t="s">
        <v>9</v>
      </c>
      <c r="Y17" s="7" t="s">
        <v>39</v>
      </c>
      <c r="Z17" s="7" t="s">
        <v>9</v>
      </c>
      <c r="AA17" s="7" t="s">
        <v>8</v>
      </c>
      <c r="AB17" s="7" t="s">
        <v>8</v>
      </c>
      <c r="AC17" s="7" t="s">
        <v>8</v>
      </c>
      <c r="AD17" s="7" t="s">
        <v>39</v>
      </c>
      <c r="AE17" s="7" t="s">
        <v>8</v>
      </c>
      <c r="AF17" s="7" t="s">
        <v>8</v>
      </c>
      <c r="AG17" s="7" t="s">
        <v>9</v>
      </c>
      <c r="AH17" s="7">
        <f>COUNTIF(C17:AG17,"P*")+COUNTIF(C17:AG17,"H*")*0.5</f>
        <v>5</v>
      </c>
      <c r="AI17" s="8">
        <f>COUNTIF(C17:AG17,"P+1")*1+COUNTIF(C17:AG17,"H+1")*1+COUNTIF(C17:AF17,"P+2")*2+COUNTIF(C17:AF17,"H+2")*2+COUNTIF(C17:AF17,"P+3")*3+COUNTIF(C17:AF17,"H+3")*3+COUNTIF(C17:AF17,"P+4")*4+COUNTIF(C17:AF17,"H+4")*4+COUNTIF(C17:AF17,"P+5")*5+COUNTIF(C17:AF17,"H+5")*5+COUNTIF(C17:AF17,"P+6")*6+COUNTIF(C17:AF17,"H+6")*6+COUNTIF(C17:AF17,"P+7")*7+COUNTIF(C17:AF17,"H+7")*7+COUNTIF(C17:AF17,"P+8")*8+COUNTIF(C17:AF17,"H+8")*8+COUNTIF(C17:AF17,"P+9")*9+COUNTIF(C17:AF17,"H+9")*9+COUNTIF(C17:AF17,"P+10")*10+COUNTIF(C17:AF17,"H+10")*10</f>
        <v>0</v>
      </c>
      <c r="AJ17" s="8">
        <f>ROUND(AI17*(B17/8),0)</f>
        <v>0</v>
      </c>
      <c r="AK17" s="7">
        <f>AH17*B17+AJ17</f>
        <v>2250</v>
      </c>
      <c r="AL17" t="e" cm="1" vm="13">
        <f t="array" ref="AL17">_xlfn.IMAGE("https://quickchart.io/qr?size=400&amp;text="&amp;SUBSTITUTE(SUBSTITUTE("Welcome Dear, ☺️"&amp;CHAR(10)&amp;"To The, "&amp;CHAR(10)&amp;"Ms SURINDER KUMAR"&amp;CHAR(10)&amp;"Attendance System"&amp;CHAR(10)&amp;CHAR(10)&amp;"Employee: "&amp;A17&amp;CHAR(10)&amp;"Month: "&amp;TEXT(C$4,"mmmm yyyy")&amp;CHAR(10)&amp;CHAR(10)&amp;_xlfn.TEXTJOIN(CHAR(10),TRUE,IF(C$4:AG$4&lt;&gt;"",TEXT(C$4:AG$4,"dd-mm-yyyy")&amp;" : "&amp;C17:AG17,""))&amp;CHAR(10)&amp;CHAR(10)&amp;"Total Present: "&amp;COUNTIF(C17:AG17,"P*")&amp;" Days"&amp;CHAR(10)&amp;"Total Half Day: "&amp;COUNTIF(C17:AG17,"H")&amp;" Days"&amp;CHAR(10)&amp;"Total OT Wage: Rs "&amp;AJ17&amp;CHAR(10)&amp;"Monthly Wage: Rs "&amp;AK17," ","%20"),CHAR(10),"%0A"))</f>
        <v>#VALUE!</v>
      </c>
    </row>
    <row r="18" spans="1:38" ht="15.6" customHeight="1" x14ac:dyDescent="0.2">
      <c r="A18" s="20" t="s">
        <v>16</v>
      </c>
      <c r="B18" s="7">
        <v>450</v>
      </c>
      <c r="C18" s="7"/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  <c r="J18" s="7" t="s">
        <v>9</v>
      </c>
      <c r="K18" s="7" t="s">
        <v>39</v>
      </c>
      <c r="L18" s="7" t="s">
        <v>9</v>
      </c>
      <c r="M18" s="7" t="s">
        <v>9</v>
      </c>
      <c r="N18" s="7" t="s">
        <v>9</v>
      </c>
      <c r="O18" s="7" t="s">
        <v>9</v>
      </c>
      <c r="P18" s="7" t="s">
        <v>9</v>
      </c>
      <c r="Q18" s="7" t="s">
        <v>39</v>
      </c>
      <c r="R18" s="7" t="s">
        <v>9</v>
      </c>
      <c r="S18" s="7" t="s">
        <v>9</v>
      </c>
      <c r="T18" s="7" t="s">
        <v>8</v>
      </c>
      <c r="U18" s="7" t="s">
        <v>8</v>
      </c>
      <c r="V18" s="7" t="s">
        <v>8</v>
      </c>
      <c r="W18" s="7" t="s">
        <v>8</v>
      </c>
      <c r="X18" s="7" t="s">
        <v>8</v>
      </c>
      <c r="Y18" s="7" t="s">
        <v>39</v>
      </c>
      <c r="Z18" s="7" t="s">
        <v>9</v>
      </c>
      <c r="AA18" s="7" t="s">
        <v>8</v>
      </c>
      <c r="AB18" s="7" t="s">
        <v>9</v>
      </c>
      <c r="AC18" s="7" t="s">
        <v>9</v>
      </c>
      <c r="AD18" s="7" t="s">
        <v>39</v>
      </c>
      <c r="AE18" s="7" t="s">
        <v>8</v>
      </c>
      <c r="AF18" s="7" t="s">
        <v>9</v>
      </c>
      <c r="AG18" s="7" t="s">
        <v>8</v>
      </c>
      <c r="AH18" s="7">
        <f>COUNTIF(C18:AG18,"P*")+COUNTIF(C18:AG18,"H*")*0.5</f>
        <v>8</v>
      </c>
      <c r="AI18" s="8">
        <f>COUNTIF(C18:AG18,"P+1")*1+COUNTIF(C18:AG18,"H+1")*1+COUNTIF(C18:AF18,"P+2")*2+COUNTIF(C18:AF18,"H+2")*2+COUNTIF(C18:AF18,"P+3")*3+COUNTIF(C18:AF18,"H+3")*3+COUNTIF(C18:AF18,"P+4")*4+COUNTIF(C18:AF18,"H+4")*4+COUNTIF(C18:AF18,"P+5")*5+COUNTIF(C18:AF18,"H+5")*5+COUNTIF(C18:AF18,"P+6")*6+COUNTIF(C18:AF18,"H+6")*6+COUNTIF(C18:AF18,"P+7")*7+COUNTIF(C18:AF18,"H+7")*7+COUNTIF(C18:AF18,"P+8")*8+COUNTIF(C18:AF18,"H+8")*8+COUNTIF(C18:AF18,"P+9")*9+COUNTIF(C18:AF18,"H+9")*9+COUNTIF(C18:AF18,"P+10")*10+COUNTIF(C18:AF18,"H+10")*10</f>
        <v>0</v>
      </c>
      <c r="AJ18" s="8">
        <f>ROUND(AI18*(B18/8),0)</f>
        <v>0</v>
      </c>
      <c r="AK18" s="7">
        <f>AH18*B18+AJ18</f>
        <v>3600</v>
      </c>
      <c r="AL18" t="e" cm="1" vm="14">
        <f t="array" ref="AL18">_xlfn.IMAGE("https://quickchart.io/qr?size=400&amp;text="&amp;SUBSTITUTE(SUBSTITUTE("Welcome Dear, ☺️"&amp;CHAR(10)&amp;"To The, "&amp;CHAR(10)&amp;"Ms SURINDER KUMAR"&amp;CHAR(10)&amp;"Attendance System"&amp;CHAR(10)&amp;CHAR(10)&amp;"Employee: "&amp;A18&amp;CHAR(10)&amp;"Month: "&amp;TEXT(C$4,"mmmm yyyy")&amp;CHAR(10)&amp;CHAR(10)&amp;_xlfn.TEXTJOIN(CHAR(10),TRUE,IF(C$4:AG$4&lt;&gt;"",TEXT(C$4:AG$4,"dd-mm-yyyy")&amp;" : "&amp;C18:AG18,""))&amp;CHAR(10)&amp;CHAR(10)&amp;"Total Present: "&amp;COUNTIF(C18:AG18,"P*")&amp;" Days"&amp;CHAR(10)&amp;"Total Half Day: "&amp;COUNTIF(C18:AG18,"H")&amp;" Days"&amp;CHAR(10)&amp;"Total OT Wage: Rs "&amp;AJ18&amp;CHAR(10)&amp;"Monthly Wage: Rs "&amp;AK18," ","%20"),CHAR(10),"%0A"))</f>
        <v>#VALUE!</v>
      </c>
    </row>
    <row r="19" spans="1:38" x14ac:dyDescent="0.2">
      <c r="A19" s="20" t="s">
        <v>19</v>
      </c>
      <c r="B19" s="7">
        <v>450</v>
      </c>
      <c r="C19" s="7" t="s">
        <v>7</v>
      </c>
      <c r="D19" s="7" t="s">
        <v>8</v>
      </c>
      <c r="E19" s="7" t="s">
        <v>7</v>
      </c>
      <c r="F19" s="7" t="s">
        <v>7</v>
      </c>
      <c r="G19" s="7" t="s">
        <v>7</v>
      </c>
      <c r="H19" s="7" t="s">
        <v>6</v>
      </c>
      <c r="I19" s="7" t="s">
        <v>9</v>
      </c>
      <c r="J19" s="7" t="s">
        <v>9</v>
      </c>
      <c r="K19" s="7" t="s">
        <v>39</v>
      </c>
      <c r="L19" s="7" t="s">
        <v>6</v>
      </c>
      <c r="M19" s="7" t="s">
        <v>7</v>
      </c>
      <c r="N19" s="7" t="s">
        <v>7</v>
      </c>
      <c r="O19" s="7" t="s">
        <v>9</v>
      </c>
      <c r="P19" s="7" t="s">
        <v>9</v>
      </c>
      <c r="Q19" s="7" t="s">
        <v>39</v>
      </c>
      <c r="R19" s="7" t="s">
        <v>9</v>
      </c>
      <c r="S19" s="7" t="s">
        <v>7</v>
      </c>
      <c r="T19" s="7" t="s">
        <v>7</v>
      </c>
      <c r="U19" s="7" t="s">
        <v>6</v>
      </c>
      <c r="V19" s="7" t="s">
        <v>8</v>
      </c>
      <c r="W19" s="7" t="s">
        <v>9</v>
      </c>
      <c r="X19" s="7" t="s">
        <v>7</v>
      </c>
      <c r="Y19" s="7" t="s">
        <v>39</v>
      </c>
      <c r="Z19" s="7" t="s">
        <v>9</v>
      </c>
      <c r="AA19" s="7" t="s">
        <v>9</v>
      </c>
      <c r="AB19" s="7" t="s">
        <v>7</v>
      </c>
      <c r="AC19" s="7" t="s">
        <v>7</v>
      </c>
      <c r="AD19" s="7" t="s">
        <v>39</v>
      </c>
      <c r="AE19" s="7" t="s">
        <v>9</v>
      </c>
      <c r="AF19" s="7" t="s">
        <v>8</v>
      </c>
      <c r="AG19" s="7" t="s">
        <v>8</v>
      </c>
      <c r="AH19" s="7">
        <f>COUNTIF(C19:AG19,"P*")+COUNTIF(C19:AG19,"H*")*0.5</f>
        <v>16.5</v>
      </c>
      <c r="AI19" s="8">
        <f>COUNTIF(C19:AG19,"P+1")*1+COUNTIF(C19:AG19,"H+1")*1+COUNTIF(C19:AF19,"P+2")*2+COUNTIF(C19:AF19,"H+2")*2+COUNTIF(C19:AF19,"P+3")*3+COUNTIF(C19:AF19,"H+3")*3+COUNTIF(C19:AF19,"P+4")*4+COUNTIF(C19:AF19,"H+4")*4+COUNTIF(C19:AF19,"P+5")*5+COUNTIF(C19:AF19,"H+5")*5+COUNTIF(C19:AF19,"P+6")*6+COUNTIF(C19:AF19,"H+6")*6+COUNTIF(C19:AF19,"P+7")*7+COUNTIF(C19:AF19,"H+7")*7+COUNTIF(C19:AF19,"P+8")*8+COUNTIF(C19:AF19,"H+8")*8+COUNTIF(C19:AF19,"P+9")*9+COUNTIF(C19:AF19,"H+9")*9+COUNTIF(C19:AF19,"P+10")*10+COUNTIF(C19:AF19,"H+10")*10</f>
        <v>11</v>
      </c>
      <c r="AJ19" s="8">
        <f>ROUND(AI19*(B19/8),0)</f>
        <v>619</v>
      </c>
      <c r="AK19" s="7">
        <f>AH19*B19+AJ19</f>
        <v>8044</v>
      </c>
      <c r="AL19" t="e" cm="1" vm="15">
        <f t="array" ref="AL19">_xlfn.IMAGE("https://quickchart.io/qr?size=400&amp;text="&amp;SUBSTITUTE(SUBSTITUTE("Welcome Dear, ☺️"&amp;CHAR(10)&amp;"To The, "&amp;CHAR(10)&amp;"Ms SURINDER KUMAR"&amp;CHAR(10)&amp;"Attendance System"&amp;CHAR(10)&amp;CHAR(10)&amp;"Employee: "&amp;A19&amp;CHAR(10)&amp;"Month: "&amp;TEXT(C$4,"mmmm yyyy")&amp;CHAR(10)&amp;CHAR(10)&amp;_xlfn.TEXTJOIN(CHAR(10),TRUE,IF(C$4:AG$4&lt;&gt;"",TEXT(C$4:AG$4,"dd-mm-yyyy")&amp;" : "&amp;C19:AG19,""))&amp;CHAR(10)&amp;CHAR(10)&amp;"Total Present: "&amp;COUNTIF(C19:AG19,"P*")&amp;" Days"&amp;CHAR(10)&amp;"Total Half Day: "&amp;COUNTIF(C19:AG19,"H")&amp;" Days"&amp;CHAR(10)&amp;"Total OT Wage: Rs "&amp;AJ19&amp;CHAR(10)&amp;"Monthly Wage: Rs "&amp;AK19," ","%20"),CHAR(10),"%0A"))</f>
        <v>#VALUE!</v>
      </c>
    </row>
    <row r="20" spans="1:38" x14ac:dyDescent="0.2">
      <c r="A20" s="20" t="s">
        <v>13</v>
      </c>
      <c r="B20" s="7">
        <v>550</v>
      </c>
      <c r="C20" s="7" t="s">
        <v>7</v>
      </c>
      <c r="D20" s="7" t="s">
        <v>9</v>
      </c>
      <c r="E20" s="7" t="s">
        <v>7</v>
      </c>
      <c r="F20" s="7" t="s">
        <v>8</v>
      </c>
      <c r="G20" s="7" t="s">
        <v>7</v>
      </c>
      <c r="H20" s="7" t="s">
        <v>7</v>
      </c>
      <c r="I20" s="7" t="s">
        <v>9</v>
      </c>
      <c r="J20" s="7" t="s">
        <v>8</v>
      </c>
      <c r="K20" s="7" t="s">
        <v>39</v>
      </c>
      <c r="L20" s="7" t="s">
        <v>8</v>
      </c>
      <c r="M20" s="7" t="s">
        <v>9</v>
      </c>
      <c r="N20" s="7" t="s">
        <v>7</v>
      </c>
      <c r="O20" s="7" t="s">
        <v>9</v>
      </c>
      <c r="P20" s="7" t="s">
        <v>7</v>
      </c>
      <c r="Q20" s="7" t="s">
        <v>39</v>
      </c>
      <c r="R20" s="7" t="s">
        <v>9</v>
      </c>
      <c r="S20" s="7" t="s">
        <v>7</v>
      </c>
      <c r="T20" s="7" t="s">
        <v>7</v>
      </c>
      <c r="U20" s="7" t="s">
        <v>9</v>
      </c>
      <c r="V20" s="7" t="s">
        <v>9</v>
      </c>
      <c r="W20" s="7" t="s">
        <v>7</v>
      </c>
      <c r="X20" s="7" t="s">
        <v>9</v>
      </c>
      <c r="Y20" s="7" t="s">
        <v>39</v>
      </c>
      <c r="Z20" s="7" t="s">
        <v>8</v>
      </c>
      <c r="AA20" s="7" t="s">
        <v>7</v>
      </c>
      <c r="AB20" s="7" t="s">
        <v>9</v>
      </c>
      <c r="AC20" s="7" t="s">
        <v>9</v>
      </c>
      <c r="AD20" s="7" t="s">
        <v>39</v>
      </c>
      <c r="AE20" s="7" t="s">
        <v>9</v>
      </c>
      <c r="AF20" s="7" t="s">
        <v>9</v>
      </c>
      <c r="AG20" s="7" t="s">
        <v>9</v>
      </c>
      <c r="AH20" s="7">
        <f>COUNTIF(C20:AG20,"P*")+COUNTIF(C20:AG20,"H*")*0.5</f>
        <v>14</v>
      </c>
      <c r="AI20" s="8">
        <f>COUNTIF(C20:AG20,"P+1")*1+COUNTIF(C20:AG20,"H+1")*1+COUNTIF(C20:AF20,"P+2")*2+COUNTIF(C20:AF20,"H+2")*2+COUNTIF(C20:AF20,"P+3")*3+COUNTIF(C20:AF20,"H+3")*3+COUNTIF(C20:AF20,"P+4")*4+COUNTIF(C20:AF20,"H+4")*4+COUNTIF(C20:AF20,"P+5")*5+COUNTIF(C20:AF20,"H+5")*5+COUNTIF(C20:AF20,"P+6")*6+COUNTIF(C20:AF20,"H+6")*6+COUNTIF(C20:AF20,"P+7")*7+COUNTIF(C20:AF20,"H+7")*7+COUNTIF(C20:AF20,"P+8")*8+COUNTIF(C20:AF20,"H+8")*8+COUNTIF(C20:AF20,"P+9")*9+COUNTIF(C20:AF20,"H+9")*9+COUNTIF(C20:AF20,"P+10")*10+COUNTIF(C20:AF20,"H+10")*10</f>
        <v>10</v>
      </c>
      <c r="AJ20" s="8">
        <f>ROUND(AI20*(B20/8),0)</f>
        <v>688</v>
      </c>
      <c r="AK20" s="7">
        <f>AH20*B20+AJ20</f>
        <v>8388</v>
      </c>
      <c r="AL20" t="e" cm="1" vm="16">
        <f t="array" ref="AL20">_xlfn.IMAGE("https://quickchart.io/qr?size=400&amp;text="&amp;SUBSTITUTE(SUBSTITUTE("Welcome Dear, ☺️"&amp;CHAR(10)&amp;"To The, "&amp;CHAR(10)&amp;"Ms SURINDER KUMAR"&amp;CHAR(10)&amp;"Attendance System"&amp;CHAR(10)&amp;CHAR(10)&amp;"Employee: "&amp;A20&amp;CHAR(10)&amp;"Month: "&amp;TEXT(C$4,"mmmm yyyy")&amp;CHAR(10)&amp;CHAR(10)&amp;_xlfn.TEXTJOIN(CHAR(10),TRUE,IF(C$4:AG$4&lt;&gt;"",TEXT(C$4:AG$4,"dd-mm-yyyy")&amp;" : "&amp;C20:AG20,""))&amp;CHAR(10)&amp;CHAR(10)&amp;"Total Present: "&amp;COUNTIF(C20:AG20,"P*")&amp;" Days"&amp;CHAR(10)&amp;"Total Half Day: "&amp;COUNTIF(C20:AG20,"H")&amp;" Days"&amp;CHAR(10)&amp;"Total OT Wage: Rs "&amp;AJ20&amp;CHAR(10)&amp;"Monthly Wage: Rs "&amp;AK20," ","%20"),CHAR(10),"%0A"))</f>
        <v>#VALUE!</v>
      </c>
    </row>
    <row r="21" spans="1:38" x14ac:dyDescent="0.2">
      <c r="A21" s="20" t="s">
        <v>10</v>
      </c>
      <c r="B21" s="7">
        <v>600</v>
      </c>
      <c r="C21" s="7" t="s">
        <v>7</v>
      </c>
      <c r="D21" s="7" t="s">
        <v>8</v>
      </c>
      <c r="E21" s="7" t="s">
        <v>7</v>
      </c>
      <c r="F21" s="7" t="s">
        <v>7</v>
      </c>
      <c r="G21" s="7" t="s">
        <v>7</v>
      </c>
      <c r="H21" s="7" t="s">
        <v>7</v>
      </c>
      <c r="I21" s="7" t="s">
        <v>7</v>
      </c>
      <c r="J21" s="7" t="s">
        <v>8</v>
      </c>
      <c r="K21" s="7" t="s">
        <v>39</v>
      </c>
      <c r="L21" s="7" t="s">
        <v>8</v>
      </c>
      <c r="M21" s="7" t="s">
        <v>7</v>
      </c>
      <c r="N21" s="7" t="s">
        <v>7</v>
      </c>
      <c r="O21" s="7" t="s">
        <v>8</v>
      </c>
      <c r="P21" s="7" t="s">
        <v>7</v>
      </c>
      <c r="Q21" s="7" t="s">
        <v>39</v>
      </c>
      <c r="R21" s="7" t="s">
        <v>8</v>
      </c>
      <c r="S21" s="7" t="s">
        <v>7</v>
      </c>
      <c r="T21" s="7" t="s">
        <v>7</v>
      </c>
      <c r="U21" s="7" t="s">
        <v>7</v>
      </c>
      <c r="V21" s="7" t="s">
        <v>8</v>
      </c>
      <c r="W21" s="7" t="s">
        <v>7</v>
      </c>
      <c r="X21" s="7" t="s">
        <v>7</v>
      </c>
      <c r="Y21" s="7" t="s">
        <v>39</v>
      </c>
      <c r="Z21" s="7" t="s">
        <v>7</v>
      </c>
      <c r="AA21" s="7" t="s">
        <v>7</v>
      </c>
      <c r="AB21" s="7" t="s">
        <v>7</v>
      </c>
      <c r="AC21" s="7" t="s">
        <v>7</v>
      </c>
      <c r="AD21" s="7" t="s">
        <v>39</v>
      </c>
      <c r="AE21" s="7" t="s">
        <v>7</v>
      </c>
      <c r="AF21" s="7" t="s">
        <v>8</v>
      </c>
      <c r="AG21" s="7" t="s">
        <v>8</v>
      </c>
      <c r="AH21" s="7">
        <f>COUNTIF(C21:AG21,"P*")+COUNTIF(C21:AG21,"H*")*0.5</f>
        <v>27</v>
      </c>
      <c r="AI21" s="8">
        <v>20</v>
      </c>
      <c r="AJ21" s="8">
        <f>ROUND(AI21*(B21/8),0)</f>
        <v>1500</v>
      </c>
      <c r="AK21" s="7">
        <f>AH21*B21+AJ21</f>
        <v>17700</v>
      </c>
      <c r="AL21" t="e" cm="1" vm="17">
        <f t="array" ref="AL21">_xlfn.IMAGE("https://quickchart.io/qr?size=400&amp;text="&amp;SUBSTITUTE(SUBSTITUTE("Welcome Dear, ☺️"&amp;CHAR(10)&amp;"To The, "&amp;CHAR(10)&amp;"Ms SURINDER KUMAR"&amp;CHAR(10)&amp;"Attendance System"&amp;CHAR(10)&amp;CHAR(10)&amp;"Employee: "&amp;A21&amp;CHAR(10)&amp;"Month: "&amp;TEXT(C$4,"mmmm yyyy")&amp;CHAR(10)&amp;CHAR(10)&amp;_xlfn.TEXTJOIN(CHAR(10),TRUE,IF(C$4:AG$4&lt;&gt;"",TEXT(C$4:AG$4,"dd-mm-yyyy")&amp;" : "&amp;C21:AG21,""))&amp;CHAR(10)&amp;CHAR(10)&amp;"Total Present: "&amp;COUNTIF(C21:AG21,"P*")&amp;" Days"&amp;CHAR(10)&amp;"Total Half Day: "&amp;COUNTIF(C21:AG21,"H")&amp;" Days"&amp;CHAR(10)&amp;"Total OT Wage: Rs "&amp;AJ21&amp;CHAR(10)&amp;"Monthly Wage: Rs "&amp;AK21," ","%20"),CHAR(10),"%0A"))</f>
        <v>#VALUE!</v>
      </c>
    </row>
    <row r="22" spans="1:38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/>
      <c r="AJ22" s="8"/>
      <c r="AK22" s="7"/>
    </row>
    <row r="23" spans="1:38" x14ac:dyDescent="0.2">
      <c r="A23" s="9" t="s">
        <v>35</v>
      </c>
      <c r="B23" s="9"/>
      <c r="C23" s="9">
        <f>COUNTIF(C5:C21,"P*")+COUNTIF(C5:C21,"H*")*0.5</f>
        <v>10</v>
      </c>
      <c r="D23" s="9">
        <f t="shared" ref="D23:AG23" si="0">COUNTIF(D5:D21,"P*")+COUNTIF(D5:D21,"H*")*0.5</f>
        <v>5</v>
      </c>
      <c r="E23" s="9">
        <f t="shared" si="0"/>
        <v>14</v>
      </c>
      <c r="F23" s="9">
        <f t="shared" si="0"/>
        <v>13.5</v>
      </c>
      <c r="G23" s="9">
        <f t="shared" si="0"/>
        <v>14</v>
      </c>
      <c r="H23" s="9">
        <f t="shared" si="0"/>
        <v>12.5</v>
      </c>
      <c r="I23" s="9">
        <f t="shared" si="0"/>
        <v>8</v>
      </c>
      <c r="J23" s="9">
        <f t="shared" si="0"/>
        <v>6</v>
      </c>
      <c r="K23" s="9">
        <f t="shared" si="0"/>
        <v>0</v>
      </c>
      <c r="L23" s="9">
        <f t="shared" si="0"/>
        <v>9.5</v>
      </c>
      <c r="M23" s="9">
        <f t="shared" si="0"/>
        <v>10</v>
      </c>
      <c r="N23" s="9">
        <f t="shared" si="0"/>
        <v>8</v>
      </c>
      <c r="O23" s="9">
        <f t="shared" si="0"/>
        <v>10</v>
      </c>
      <c r="P23" s="9">
        <f t="shared" si="0"/>
        <v>9</v>
      </c>
      <c r="Q23" s="9">
        <f t="shared" si="0"/>
        <v>0</v>
      </c>
      <c r="R23" s="9">
        <f t="shared" si="0"/>
        <v>6.5</v>
      </c>
      <c r="S23" s="9">
        <f t="shared" si="0"/>
        <v>6</v>
      </c>
      <c r="T23" s="9">
        <f t="shared" si="0"/>
        <v>13</v>
      </c>
      <c r="U23" s="9">
        <f t="shared" si="0"/>
        <v>11.5</v>
      </c>
      <c r="V23" s="9">
        <f t="shared" si="0"/>
        <v>11.5</v>
      </c>
      <c r="W23" s="9">
        <f t="shared" si="0"/>
        <v>10</v>
      </c>
      <c r="X23" s="9">
        <f t="shared" si="0"/>
        <v>10.5</v>
      </c>
      <c r="Y23" s="9">
        <f t="shared" si="0"/>
        <v>0</v>
      </c>
      <c r="Z23" s="9">
        <f t="shared" si="0"/>
        <v>9.5</v>
      </c>
      <c r="AA23" s="9">
        <f t="shared" si="0"/>
        <v>10.5</v>
      </c>
      <c r="AB23" s="9">
        <f t="shared" si="0"/>
        <v>11</v>
      </c>
      <c r="AC23" s="9">
        <f t="shared" si="0"/>
        <v>10</v>
      </c>
      <c r="AD23" s="9">
        <f t="shared" si="0"/>
        <v>0</v>
      </c>
      <c r="AE23" s="9">
        <f t="shared" si="0"/>
        <v>9</v>
      </c>
      <c r="AF23" s="9">
        <f t="shared" si="0"/>
        <v>9</v>
      </c>
      <c r="AG23" s="9">
        <f t="shared" si="0"/>
        <v>10</v>
      </c>
      <c r="AH23" s="9"/>
      <c r="AI23" s="9"/>
      <c r="AJ23" s="9"/>
      <c r="AK23" s="9"/>
    </row>
    <row r="24" spans="1:38" x14ac:dyDescent="0.2">
      <c r="A24" s="9" t="s">
        <v>23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>
        <f>SUM(AI5:AI19)</f>
        <v>98</v>
      </c>
      <c r="AJ24" s="9"/>
      <c r="AK24" s="9"/>
    </row>
    <row r="25" spans="1:38" x14ac:dyDescent="0.2">
      <c r="A25" s="9" t="s">
        <v>24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>
        <f>SUM(AK5:AK21)</f>
        <v>146399</v>
      </c>
    </row>
    <row r="26" spans="1:38" x14ac:dyDescent="0.2">
      <c r="A26" s="10" t="s">
        <v>25</v>
      </c>
      <c r="B26" s="9"/>
      <c r="C26" s="9" cm="1">
        <f t="array" ref="C26">ROUND(SUMPRODUCT((C5:C21="P")*$B$5:$B$21)+SUMPRODUCT((C5:C21="P+1")*$B$5:$B$21*9/8)+SUMPRODUCT((C5:C21="H")*$B$5:$B$21/2),0)</f>
        <v>5711</v>
      </c>
      <c r="D26" s="9" cm="1">
        <f t="array" ref="D26">ROUND(SUMPRODUCT((D5:D21="P")*$B$5:$B$21)+SUMPRODUCT((D5:D21="P+1")*$B$5:$B$21*9/8)+SUMPRODUCT((D5:D21="H")*$B$5:$B$21/2),0)</f>
        <v>2580</v>
      </c>
      <c r="E26" s="9" cm="1">
        <f t="array" ref="E26">ROUND(SUMPRODUCT((E5:E21="P")*$B$5:$B$21)+SUMPRODUCT((E5:E21="P+1")*$B$5:$B$21*9/8)+SUMPRODUCT((E5:E21="H")*$B$5:$B$21/2),0)</f>
        <v>7875</v>
      </c>
      <c r="F26" s="9" cm="1">
        <f t="array" ref="F26">ROUND(SUMPRODUCT((F5:F21="P")*$B$5:$B$21)+SUMPRODUCT((F5:F21="P+1")*$B$5:$B$21*9/8)+SUMPRODUCT((F5:F21="H")*$B$5:$B$21/2),0)</f>
        <v>7576</v>
      </c>
      <c r="G26" s="9" cm="1">
        <f t="array" ref="G26">ROUND(SUMPRODUCT((G5:G21="P")*$B$5:$B$21)+SUMPRODUCT((G5:G21="P+1")*$B$5:$B$21*9/8)+SUMPRODUCT((G5:G21="H")*$B$5:$B$21/2),0)</f>
        <v>7821</v>
      </c>
      <c r="H26" s="9" cm="1">
        <f t="array" ref="H26">ROUND(SUMPRODUCT((H5:H21="P")*$B$5:$B$21)+SUMPRODUCT((H5:H21="P+1")*$B$5:$B$21*9/8)+SUMPRODUCT((H5:H21="H")*$B$5:$B$21/2),0)</f>
        <v>6825</v>
      </c>
      <c r="I26" s="9" cm="1">
        <f t="array" ref="I26">ROUND(SUMPRODUCT((I5:I21="P")*$B$5:$B$21)+SUMPRODUCT((I5:I21="P+1")*$B$5:$B$21*9/8)+SUMPRODUCT((I5:I21="H")*$B$5:$B$21/2),0)</f>
        <v>4611</v>
      </c>
      <c r="J26" s="9" cm="1">
        <f t="array" ref="J26">ROUND(SUMPRODUCT((J5:J21="P")*$B$5:$B$21)+SUMPRODUCT((J5:J21="P+1")*$B$5:$B$21*9/8)+SUMPRODUCT((J5:J21="H")*$B$5:$B$21/2),0)</f>
        <v>3060</v>
      </c>
      <c r="K26" s="9" cm="1">
        <f t="array" ref="K26">ROUND(SUMPRODUCT((K5:K21="P")*$B$5:$B$21)+SUMPRODUCT((K5:K21="P+1")*$B$5:$B$21*9/8)+SUMPRODUCT((K5:K21="H")*$B$5:$B$21/2),0)</f>
        <v>0</v>
      </c>
      <c r="L26" s="9" cm="1">
        <f t="array" ref="L26">ROUND(SUMPRODUCT((L5:L21="P")*$B$5:$B$21)+SUMPRODUCT((L5:L21="P+1")*$B$5:$B$21*9/8)+SUMPRODUCT((L5:L21="H")*$B$5:$B$21/2),0)</f>
        <v>4865</v>
      </c>
      <c r="M26" s="9" cm="1">
        <f t="array" ref="M26">ROUND(SUMPRODUCT((M5:M21="P")*$B$5:$B$21)+SUMPRODUCT((M5:M21="P+1")*$B$5:$B$21*9/8)+SUMPRODUCT((M5:M21="H")*$B$5:$B$21/2),0)</f>
        <v>5664</v>
      </c>
      <c r="N26" s="9" cm="1">
        <f t="array" ref="N26">ROUND(SUMPRODUCT((N5:N21="P")*$B$5:$B$21)+SUMPRODUCT((N5:N21="P+1")*$B$5:$B$21*9/8)+SUMPRODUCT((N5:N21="H")*$B$5:$B$21/2),0)</f>
        <v>4378</v>
      </c>
      <c r="O26" s="9" cm="1">
        <f t="array" ref="O26">ROUND(SUMPRODUCT((O5:O21="P")*$B$5:$B$21)+SUMPRODUCT((O5:O21="P+1")*$B$5:$B$21*9/8)+SUMPRODUCT((O5:O21="H")*$B$5:$B$21/2),0)</f>
        <v>5260</v>
      </c>
      <c r="P26" s="9" cm="1">
        <f t="array" ref="P26">ROUND(SUMPRODUCT((P5:P21="P")*$B$5:$B$21)+SUMPRODUCT((P5:P21="P+1")*$B$5:$B$21*9/8)+SUMPRODUCT((P5:P21="H")*$B$5:$B$21/2),0)</f>
        <v>5455</v>
      </c>
      <c r="Q26" s="9" cm="1">
        <f t="array" ref="Q26">ROUND(SUMPRODUCT((Q5:Q21="P")*$B$5:$B$21)+SUMPRODUCT((Q5:Q21="P+1")*$B$5:$B$21*9/8)+SUMPRODUCT((Q5:Q21="H")*$B$5:$B$21/2),0)</f>
        <v>0</v>
      </c>
      <c r="R26" s="9" cm="1">
        <f t="array" ref="R26">ROUND(SUMPRODUCT((R5:R21="P")*$B$5:$B$21)+SUMPRODUCT((R5:R21="P+1")*$B$5:$B$21*9/8)+SUMPRODUCT((R5:R21="H")*$B$5:$B$21/2),0)</f>
        <v>3500</v>
      </c>
      <c r="S26" s="9" cm="1">
        <f t="array" ref="S26">ROUND(SUMPRODUCT((S5:S21="P")*$B$5:$B$21)+SUMPRODUCT((S5:S21="P+1")*$B$5:$B$21*9/8)+SUMPRODUCT((S5:S21="H")*$B$5:$B$21/2),0)</f>
        <v>3596</v>
      </c>
      <c r="T26" s="9" cm="1">
        <f t="array" ref="T26">ROUND(SUMPRODUCT((T5:T21="P")*$B$5:$B$21)+SUMPRODUCT((T5:T21="P+1")*$B$5:$B$21*9/8)+SUMPRODUCT((T5:T21="H")*$B$5:$B$21/2),0)</f>
        <v>7310</v>
      </c>
      <c r="U26" s="9" cm="1">
        <f t="array" ref="U26">ROUND(SUMPRODUCT((U5:U21="P")*$B$5:$B$21)+SUMPRODUCT((U5:U21="P+1")*$B$5:$B$21*9/8)+SUMPRODUCT((U5:U21="H")*$B$5:$B$21/2),0)</f>
        <v>6436</v>
      </c>
      <c r="V26" s="9" cm="1">
        <f t="array" ref="V26">ROUND(SUMPRODUCT((V5:V21="P")*$B$5:$B$21)+SUMPRODUCT((V5:V21="P+1")*$B$5:$B$21*9/8)+SUMPRODUCT((V5:V21="H")*$B$5:$B$21/2),0)</f>
        <v>5915</v>
      </c>
      <c r="W26" s="9" cm="1">
        <f t="array" ref="W26">ROUND(SUMPRODUCT((W5:W21="P")*$B$5:$B$21)+SUMPRODUCT((W5:W21="P+1")*$B$5:$B$21*9/8)+SUMPRODUCT((W5:W21="H")*$B$5:$B$21/2),0)</f>
        <v>5679</v>
      </c>
      <c r="X26" s="9" cm="1">
        <f t="array" ref="X26">ROUND(SUMPRODUCT((X5:X21="P")*$B$5:$B$21)+SUMPRODUCT((X5:X21="P+1")*$B$5:$B$21*9/8)+SUMPRODUCT((X5:X21="H")*$B$5:$B$21/2),0)</f>
        <v>5606</v>
      </c>
      <c r="Y26" s="9" cm="1">
        <f t="array" ref="Y26">ROUND(SUMPRODUCT((Y5:Y21="P")*$B$5:$B$21)+SUMPRODUCT((Y5:Y21="P+1")*$B$5:$B$21*9/8)+SUMPRODUCT((Y5:Y21="H")*$B$5:$B$21/2),0)</f>
        <v>0</v>
      </c>
      <c r="Z26" s="9" cm="1">
        <f t="array" ref="Z26">ROUND(SUMPRODUCT((Z5:Z21="P")*$B$5:$B$21)+SUMPRODUCT((Z5:Z21="P+1")*$B$5:$B$21*9/8)+SUMPRODUCT((Z5:Z21="H")*$B$5:$B$21/2),0)</f>
        <v>5374</v>
      </c>
      <c r="AA26" s="9" cm="1">
        <f t="array" ref="AA26">ROUND(SUMPRODUCT((AA5:AA21="P")*$B$5:$B$21)+SUMPRODUCT((AA5:AA21="P+1")*$B$5:$B$21*9/8)+SUMPRODUCT((AA5:AA21="H")*$B$5:$B$21/2),0)</f>
        <v>5613</v>
      </c>
      <c r="AB26" s="9" cm="1">
        <f t="array" ref="AB26">ROUND(SUMPRODUCT((AB5:AB21="P")*$B$5:$B$21)+SUMPRODUCT((AB5:AB21="P+1")*$B$5:$B$21*9/8)+SUMPRODUCT((AB5:AB21="H")*$B$5:$B$21/2),0)</f>
        <v>5894</v>
      </c>
      <c r="AC26" s="9" cm="1">
        <f t="array" ref="AC26">ROUND(SUMPRODUCT((AC5:AC21="P")*$B$5:$B$21)+SUMPRODUCT((AC5:AC21="P+1")*$B$5:$B$21*9/8)+SUMPRODUCT((AC5:AC21="H")*$B$5:$B$21/2),0)</f>
        <v>5360</v>
      </c>
      <c r="AD26" s="9" cm="1">
        <f t="array" ref="AD26">ROUND(SUMPRODUCT((AD5:AD21="P")*$B$5:$B$21)+SUMPRODUCT((AD5:AD21="P+1")*$B$5:$B$21*9/8)+SUMPRODUCT((AD5:AD21="H")*$B$5:$B$21/2),0)</f>
        <v>0</v>
      </c>
      <c r="AE26" s="9" cm="1">
        <f t="array" ref="AE26">ROUND(SUMPRODUCT((AE5:AE21="P")*$B$5:$B$21)+SUMPRODUCT((AE5:AE21="P+1")*$B$5:$B$21*9/8)+SUMPRODUCT((AE5:AE21="H")*$B$5:$B$21/2),0)</f>
        <v>4739</v>
      </c>
      <c r="AF26" s="9" cm="1">
        <f t="array" ref="AF26">ROUND(SUMPRODUCT((AF5:AF21="P")*$B$5:$B$21)+SUMPRODUCT((AF5:AF21="P+1")*$B$5:$B$21*9/8)+SUMPRODUCT((AF5:AF21="H")*$B$5:$B$21/2),0)</f>
        <v>4590</v>
      </c>
      <c r="AG26" s="9" cm="1">
        <f t="array" ref="AG26">ROUND(SUMPRODUCT((AG5:AG21="P")*$B$5:$B$21)+SUMPRODUCT((AG5:AG21="P+1")*$B$5:$B$21*9/8)+SUMPRODUCT((AG5:AG21="H")*$B$5:$B$21/2),0)</f>
        <v>5030</v>
      </c>
      <c r="AH26" s="9"/>
      <c r="AI26" s="9"/>
      <c r="AJ26" s="9"/>
      <c r="AK26" s="9"/>
    </row>
    <row r="32" spans="1:38" x14ac:dyDescent="0.2">
      <c r="AI32" s="6"/>
    </row>
  </sheetData>
  <sortState xmlns:xlrd2="http://schemas.microsoft.com/office/spreadsheetml/2017/richdata2" ref="A6:AK21">
    <sortCondition ref="A6:A21"/>
  </sortState>
  <mergeCells count="1">
    <mergeCell ref="A1:AK1"/>
  </mergeCells>
  <dataValidations count="2">
    <dataValidation type="list" sqref="B2" xr:uid="{00000000-0002-0000-0000-000000000000}">
      <formula1>"2024,2025,2026,2027,2028,2029,2030"</formula1>
    </dataValidation>
    <dataValidation type="list" sqref="D2" xr:uid="{00000000-0002-0000-0000-000001000000}">
      <formula1>"January,February,March,April,May,June,July,August,September,October,November,December"</formula1>
    </dataValidation>
  </dataValidations>
  <pageMargins left="0.74990626395218019" right="0.74990626395218019" top="0.99987495602585208" bottom="0.99987495602585208" header="0.49993747801292598" footer="0.49993747801292598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="42" workbookViewId="0"/>
  </sheetViews>
  <sheetFormatPr defaultColWidth="11.02734375" defaultRowHeight="15" x14ac:dyDescent="0.2"/>
  <cols>
    <col min="1" max="1" width="99.94921875" style="2" customWidth="1"/>
  </cols>
  <sheetData>
    <row r="1" spans="1:1" ht="18.75" x14ac:dyDescent="0.25">
      <c r="A1" s="4" t="s">
        <v>26</v>
      </c>
    </row>
    <row r="2" spans="1:1" ht="27.75" x14ac:dyDescent="0.2">
      <c r="A2" s="5" t="s">
        <v>27</v>
      </c>
    </row>
    <row r="3" spans="1:1" x14ac:dyDescent="0.2">
      <c r="A3" s="1" t="s">
        <v>28</v>
      </c>
    </row>
    <row r="4" spans="1:1" x14ac:dyDescent="0.2">
      <c r="A4" s="1" t="s">
        <v>29</v>
      </c>
    </row>
    <row r="5" spans="1:1" x14ac:dyDescent="0.2">
      <c r="A5" s="1" t="s">
        <v>30</v>
      </c>
    </row>
    <row r="6" spans="1:1" x14ac:dyDescent="0.2">
      <c r="A6" s="1" t="s">
        <v>31</v>
      </c>
    </row>
    <row r="7" spans="1:1" x14ac:dyDescent="0.2">
      <c r="A7" s="1" t="s">
        <v>32</v>
      </c>
    </row>
    <row r="8" spans="1:1" x14ac:dyDescent="0.2">
      <c r="A8" s="1" t="s">
        <v>33</v>
      </c>
    </row>
  </sheetData>
  <pageMargins left="0.74990626395218019" right="0.74990626395218019" top="0.99987495602585208" bottom="0.99987495602585208" header="0.49993747801292598" footer="0.49993747801292598"/>
  <pageSetup paperSize="0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 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http://purl.org/dc/elements/1.1/openpyxl</dc:creator>
  <cp:lastModifiedBy>root</cp:lastModifiedBy>
  <dcterms:created xsi:type="dcterms:W3CDTF">2026-09-03T21:36:13Z</dcterms:created>
  <dcterms:modified xsi:type="dcterms:W3CDTF">2026-09-04T14:22:45Z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a4169d39ffee467a95efa1dff13ccc07_22</vt:lpwstr>
  </property>
</Properties>
</file>